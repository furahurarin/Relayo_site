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04bf5c785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はじめに" sheetId="1" r:id="R82e940b51ae94e8b"/>
    <x:sheet xmlns:r="http://schemas.openxmlformats.org/officeDocument/2006/relationships" name="見本レポート" sheetId="2" r:id="R5d7ca239622b4ee4"/>
    <x:sheet xmlns:r="http://schemas.openxmlformats.org/officeDocument/2006/relationships" name="合成データ" sheetId="3" r:id="Rff56243e1ae24645"/>
    <x:sheet xmlns:r="http://schemas.openxmlformats.org/officeDocument/2006/relationships" name="入力テンプレート" sheetId="4" r:id="R886a04bd885745a5"/>
    <x:sheet xmlns:r="http://schemas.openxmlformats.org/officeDocument/2006/relationships" name="提案文" sheetId="5" r:id="R3aa05c2d41d94e5d"/>
    <x:sheet xmlns:r="http://schemas.openxmlformats.org/officeDocument/2006/relationships" name="検証管理表" sheetId="6" r:id="Rb2c3ea641820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.0&quot; h&quot;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766E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15803D"/>
      <x:name val="Carlito"/>
    </x:font>
    <x:font>
      <x:b/>
      <x:sz val="11"/>
      <x:color rgb="FFC2410C"/>
      <x:name val="Carlito"/>
    </x:font>
    <x:font>
      <x:b/>
      <x:sz val="11"/>
      <x:color rgb="FFB91C1C"/>
      <x:name val="Carlito"/>
    </x:font>
    <x:font>
      <x:sz val="11"/>
      <x:color rgb="FF123047"/>
      <x:name val="Carlito"/>
    </x:font>
    <x:font>
      <x:sz val="11"/>
      <x:color rgb="FF64748B"/>
      <x:name val="Carlito"/>
    </x:font>
    <x:font>
      <x:b/>
      <x:sz val="18"/>
      <x:color rgb="FF123047"/>
      <x:name val="Carlito"/>
    </x:font>
    <x:font>
      <x:b/>
      <x:sz val="11"/>
      <x:color rgb="FF123047"/>
      <x:name val="Carlito"/>
    </x:font>
    <x:font>
      <x:b/>
      <x:sz val="15"/>
      <x:color rgb="FF2563EB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6F5F3"/>
      </x:patternFill>
    </x:fill>
    <x:fill>
      <x:patternFill patternType="solid">
        <x:fgColor rgb="FF0F766E"/>
      </x:patternFill>
    </x:fill>
    <x:fill>
      <x:patternFill patternType="solid">
        <x:fgColor rgb="FF2563EB"/>
      </x:patternFill>
    </x:fill>
    <x:fill>
      <x:patternFill patternType="solid">
        <x:fgColor rgb="FFEAF2FF"/>
      </x:patternFill>
    </x:fill>
    <x:fill>
      <x:patternFill patternType="solid">
        <x:fgColor rgb="FFEAF7EE"/>
      </x:patternFill>
    </x:fill>
    <x:fill>
      <x:patternFill patternType="solid">
        <x:fgColor rgb="FFFFF4E5"/>
      </x:patternFill>
    </x:fill>
    <x:fill>
      <x:patternFill patternType="solid">
        <x:fgColor rgb="FFFDECEC"/>
      </x:patternFill>
    </x:fill>
    <x:fill>
      <x:patternFill patternType="solid">
        <x:fgColor rgb="FFF5F7FA"/>
      </x:patternFill>
    </x:fill>
    <x:fill>
      <x:patternFill patternType="solid">
        <x:fgColor rgb="FFFFFDF2"/>
      </x:patternFill>
    </x:fill>
    <x:fill>
      <x:patternFill patternType="solid">
        <x:fgColor rgb="FFF3F8FE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bottom style="thin">
        <x:color rgb="FFD5DEE8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10" fillId="6" borderId="0" xfId="0" applyNumberFormat="1" applyFont="1" applyFill="1" applyBorder="1"/>
    <x:xf numFmtId="201" fontId="10" fillId="6" borderId="0" xfId="0" applyNumberFormat="1" applyFont="1" applyFill="1" applyBorder="1"/>
    <x:xf numFmtId="201" fontId="10" fillId="6" borderId="2" xfId="0" applyNumberFormat="1" applyFont="1" applyFill="1" applyBorder="1"/>
    <x:xf numFmtId="201" fontId="10" fillId="6" borderId="3" xfId="0" applyNumberFormat="1" applyFont="1" applyFill="1" applyBorder="1"/>
    <x:xf numFmtId="201" fontId="10" fillId="6" borderId="4" xfId="0" applyNumberFormat="1" applyFont="1" applyFill="1" applyBorder="1"/>
    <x:xf numFmtId="201" fontId="10" fillId="6" borderId="5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10" fillId="7" borderId="0" xfId="0" applyNumberFormat="1" applyFont="1" applyFill="1" applyBorder="1"/>
    <x:xf numFmtId="201" fontId="10" fillId="7" borderId="0" xfId="0" applyNumberFormat="1" applyFont="1" applyFill="1" applyBorder="1"/>
    <x:xf numFmtId="201" fontId="10" fillId="7" borderId="2" xfId="0" applyNumberFormat="1" applyFont="1" applyFill="1" applyBorder="1"/>
    <x:xf numFmtId="201" fontId="10" fillId="7" borderId="3" xfId="0" applyNumberFormat="1" applyFont="1" applyFill="1" applyBorder="1"/>
    <x:xf numFmtId="201" fontId="10" fillId="7" borderId="4" xfId="0" applyNumberFormat="1" applyFont="1" applyFill="1" applyBorder="1"/>
    <x:xf numFmtId="201" fontId="10" fillId="7" borderId="5" xfId="0" applyNumberFormat="1" applyFont="1" applyFill="1" applyBorder="1"/>
    <x:xf numFmtId="0" fontId="10" fillId="3" borderId="0" xfId="0" applyNumberFormat="1" applyFont="1" applyFill="1" applyBorder="1"/>
    <x:xf numFmtId="202" fontId="10" fillId="3" borderId="0" xfId="0" applyNumberFormat="1" applyFont="1" applyFill="1" applyBorder="1"/>
    <x:xf numFmtId="202" fontId="10" fillId="3" borderId="2" xfId="0" applyNumberFormat="1" applyFont="1" applyFill="1" applyBorder="1"/>
    <x:xf numFmtId="202" fontId="10" fillId="3" borderId="3" xfId="0" applyNumberFormat="1" applyFont="1" applyFill="1" applyBorder="1"/>
    <x:xf numFmtId="202" fontId="10" fillId="3" borderId="4" xfId="0" applyNumberFormat="1" applyFont="1" applyFill="1" applyBorder="1"/>
    <x:xf numFmtId="202" fontId="10" fillId="3" borderId="5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10" fillId="9" borderId="0" xfId="0" applyNumberFormat="1" applyFont="1" applyFill="1" applyBorder="1"/>
    <x:xf numFmtId="201" fontId="10" fillId="9" borderId="0" xfId="0" applyNumberFormat="1" applyFont="1" applyFill="1" applyBorder="1"/>
    <x:xf numFmtId="201" fontId="10" fillId="9" borderId="2" xfId="0" applyNumberFormat="1" applyFont="1" applyFill="1" applyBorder="1"/>
    <x:xf numFmtId="201" fontId="10" fillId="9" borderId="3" xfId="0" applyNumberFormat="1" applyFont="1" applyFill="1" applyBorder="1"/>
    <x:xf numFmtId="201" fontId="10" fillId="9" borderId="4" xfId="0" applyNumberFormat="1" applyFont="1" applyFill="1" applyBorder="1"/>
    <x:xf numFmtId="201" fontId="10" fillId="9" borderId="5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10" fillId="8" borderId="0" xfId="0" applyNumberFormat="1" applyFont="1" applyFill="1" applyBorder="1"/>
    <x:xf numFmtId="201" fontId="10" fillId="8" borderId="0" xfId="0" applyNumberFormat="1" applyFont="1" applyFill="1" applyBorder="1"/>
    <x:xf numFmtId="201" fontId="10" fillId="8" borderId="2" xfId="0" applyNumberFormat="1" applyFont="1" applyFill="1" applyBorder="1"/>
    <x:xf numFmtId="201" fontId="10" fillId="8" borderId="3" xfId="0" applyNumberFormat="1" applyFont="1" applyFill="1" applyBorder="1"/>
    <x:xf numFmtId="201" fontId="10" fillId="8" borderId="4" xfId="0" applyNumberFormat="1" applyFont="1" applyFill="1" applyBorder="1"/>
    <x:xf numFmtId="201" fontId="10" fillId="8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11" borderId="0" xfId="0" applyNumberFormat="1" applyFont="1" applyFill="1" applyBorder="1"/>
    <x:xf numFmtId="200" fontId="0" fillId="11" borderId="0" xfId="0" applyNumberFormat="1" applyFont="1" applyFill="1" applyBorder="1"/>
    <x:xf numFmtId="201" fontId="0" fillId="11" borderId="0" xfId="0" applyNumberFormat="1" applyFont="1" applyFill="1" applyBorder="1"/>
    <x:xf numFmtId="202" fontId="0" fillId="11" borderId="0" xfId="0" applyNumberFormat="1" applyFont="1" applyFill="1" applyBorder="1"/>
    <x:xf numFmtId="201" fontId="0" fillId="12" borderId="0" xfId="0" applyNumberFormat="1" applyFont="1" applyFill="1" applyBorder="1"/>
    <x:xf numFmtId="202" fontId="0" fillId="12" borderId="0" xfId="0" applyNumberFormat="1" applyFont="1" applyFill="1" applyBorder="1"/>
    <x:xf numFmtId="0" fontId="0" fillId="12" borderId="0" xfId="0" applyNumberFormat="1" applyFont="1" applyFill="1" applyBorder="1"/>
    <x:xf numFmtId="0" fontId="0" fillId="11" borderId="1" xfId="0" applyNumberFormat="1" applyFont="1" applyFill="1" applyBorder="1"/>
    <x:xf numFmtId="200" fontId="0" fillId="11" borderId="1" xfId="0" applyNumberFormat="1" applyFont="1" applyFill="1" applyBorder="1"/>
    <x:xf numFmtId="201" fontId="0" fillId="11" borderId="1" xfId="0" applyNumberFormat="1" applyFont="1" applyFill="1" applyBorder="1"/>
    <x:xf numFmtId="202" fontId="0" fillId="11" borderId="1" xfId="0" applyNumberFormat="1" applyFont="1" applyFill="1" applyBorder="1"/>
    <x:xf numFmtId="201" fontId="0" fillId="12" borderId="1" xfId="0" applyNumberFormat="1" applyFont="1" applyFill="1" applyBorder="1"/>
    <x:xf numFmtId="202" fontId="0" fillId="12" borderId="1" xfId="0" applyNumberFormat="1" applyFont="1" applyFill="1" applyBorder="1"/>
    <x:xf numFmtId="0" fontId="0" fillId="12" borderId="1" xfId="0" applyNumberFormat="1" applyFont="1" applyFill="1" applyBorder="1"/>
    <x:xf numFmtId="0" fontId="0" fillId="11" borderId="1" xfId="0" applyNumberFormat="1" applyFont="1" applyFill="1" applyBorder="1" applyAlignment="1">
      <x:alignment wrapText="1"/>
    </x:xf>
    <x:xf numFmtId="200" fontId="0" fillId="11" borderId="1" xfId="0" applyNumberFormat="1" applyFont="1" applyFill="1" applyBorder="1" applyAlignment="1">
      <x:alignment wrapText="1"/>
    </x:xf>
    <x:xf numFmtId="201" fontId="0" fillId="11" borderId="1" xfId="0" applyNumberFormat="1" applyFont="1" applyFill="1" applyBorder="1" applyAlignment="1">
      <x:alignment wrapText="1"/>
    </x:xf>
    <x:xf numFmtId="202" fontId="0" fillId="11" borderId="1" xfId="0" applyNumberFormat="1" applyFont="1" applyFill="1" applyBorder="1" applyAlignment="1">
      <x:alignment wrapText="1"/>
    </x:xf>
    <x:xf numFmtId="201" fontId="0" fillId="12" borderId="1" xfId="0" applyNumberFormat="1" applyFont="1" applyFill="1" applyBorder="1" applyAlignment="1">
      <x:alignment wrapText="1"/>
    </x:xf>
    <x:xf numFmtId="202" fontId="0" fillId="12" borderId="1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11" fillId="6" borderId="0" xfId="0" applyNumberFormat="1" applyFont="1" applyFill="1" applyBorder="1"/>
    <x:xf numFmtId="0" fontId="0" fillId="13" borderId="0" xfId="0" applyNumberFormat="1" applyFont="1" applyFill="1" applyBorder="1"/>
    <x:xf numFmtId="0" fontId="0" fillId="13" borderId="2" xfId="0" applyNumberFormat="1" applyFont="1" applyFill="1" applyBorder="1"/>
    <x:xf numFmtId="0" fontId="0" fillId="13" borderId="6" xfId="0" applyNumberFormat="1" applyFont="1" applyFill="1" applyBorder="1"/>
    <x:xf numFmtId="0" fontId="0" fillId="13" borderId="3" xfId="0" applyNumberFormat="1" applyFont="1" applyFill="1" applyBorder="1"/>
    <x:xf numFmtId="0" fontId="0" fillId="13" borderId="7" xfId="0" applyNumberFormat="1" applyFont="1" applyFill="1" applyBorder="1"/>
    <x:xf numFmtId="0" fontId="0" fillId="13" borderId="8" xfId="0" applyNumberFormat="1" applyFont="1" applyFill="1" applyBorder="1"/>
    <x:xf numFmtId="0" fontId="0" fillId="13" borderId="4" xfId="0" applyNumberFormat="1" applyFont="1" applyFill="1" applyBorder="1"/>
    <x:xf numFmtId="0" fontId="0" fillId="13" borderId="9" xfId="0" applyNumberFormat="1" applyFont="1" applyFill="1" applyBorder="1"/>
    <x:xf numFmtId="0" fontId="0" fillId="13" borderId="5" xfId="0" applyNumberFormat="1" applyFont="1" applyFill="1" applyBorder="1"/>
    <x:xf numFmtId="0" fontId="0" fillId="13" borderId="2" xfId="0" applyNumberFormat="1" applyFont="1" applyFill="1" applyBorder="1" applyAlignment="1">
      <x:alignment wrapText="1"/>
    </x:xf>
    <x:xf numFmtId="0" fontId="0" fillId="13" borderId="6" xfId="0" applyNumberFormat="1" applyFont="1" applyFill="1" applyBorder="1" applyAlignment="1">
      <x:alignment wrapText="1"/>
    </x:xf>
    <x:xf numFmtId="0" fontId="0" fillId="13" borderId="3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8" xfId="0" applyNumberFormat="1" applyFont="1" applyFill="1" applyBorder="1" applyAlignment="1">
      <x:alignment wrapText="1"/>
    </x:xf>
    <x:xf numFmtId="0" fontId="0" fillId="13" borderId="4" xfId="0" applyNumberFormat="1" applyFont="1" applyFill="1" applyBorder="1" applyAlignment="1">
      <x:alignment wrapText="1"/>
    </x:xf>
    <x:xf numFmtId="0" fontId="0" fillId="13" borderId="9" xfId="0" applyNumberFormat="1" applyFont="1" applyFill="1" applyBorder="1" applyAlignment="1">
      <x:alignment wrapText="1"/>
    </x:xf>
    <x:xf numFmtId="0" fontId="0" fillId="13" borderId="5" xfId="0" applyNumberFormat="1" applyFont="1" applyFill="1" applyBorder="1" applyAlignment="1">
      <x:alignment wrapText="1"/>
    </x:xf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2" fillId="13" borderId="0" xfId="0" applyNumberFormat="1" applyFont="1" applyFill="1" applyBorder="1"/>
    <x:xf numFmtId="0" fontId="12" fillId="13" borderId="1" xfId="0" applyNumberFormat="1" applyFont="1" applyFill="1" applyBorder="1"/>
    <x:xf numFmtId="201" fontId="12" fillId="13" borderId="1" xfId="0" applyNumberFormat="1" applyFont="1" applyFill="1" applyBorder="1"/>
    <x:xf numFmtId="0" fontId="11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/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wrapText="1"/>
    </x:xf>
    <x:xf numFmtId="200" fontId="0" fillId="13" borderId="1" xfId="0" applyNumberFormat="1" applyFont="1" applyFill="1" applyBorder="1" applyAlignment="1">
      <x:alignment wrapText="1"/>
    </x:xf>
    <x:xf numFmtId="201" fontId="0" fillId="13" borderId="1" xfId="0" applyNumberFormat="1" applyFont="1" applyFill="1" applyBorder="1" applyAlignment="1">
      <x:alignment wrapText="1"/>
    </x:xf>
    <x:xf numFmtId="203" fontId="0" fillId="13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C2410C"/>
      </x:font>
      <x:fill>
        <x:patternFill patternType="solid">
          <x:bgColor rgb="FFFFF4E5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15803D"/>
      </x:font>
      <x:fill>
        <x:patternFill patternType="solid">
          <x:bgColor rgb="FFEAF7EE"/>
        </x:patternFill>
      </x:fill>
    </x:dxf>
    <x:dxf>
      <x:font>
        <x:b/>
        <x:color rgb="FF15803D"/>
      </x:font>
      <x:fill>
        <x:patternFill patternType="solid">
          <x:bgColor rgb="FFEAF7EE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1dc54e66f4f22" /><Relationship Type="http://schemas.openxmlformats.org/officeDocument/2006/relationships/theme" Target="/xl/theme/theme1.xml" Id="Ra7e60f315489478d" /><Relationship Type="http://schemas.openxmlformats.org/officeDocument/2006/relationships/sharedStrings" Target="/xl/sharedStrings.xml" Id="R4f00f28dfe5f412f" /><Relationship Type="http://schemas.openxmlformats.org/officeDocument/2006/relationships/worksheet" Target="/xl/worksheets/sheet1.xml" Id="R82e940b51ae94e8b" /><Relationship Type="http://schemas.openxmlformats.org/officeDocument/2006/relationships/worksheet" Target="/xl/worksheets/sheet2.xml" Id="R5d7ca239622b4ee4" /><Relationship Type="http://schemas.openxmlformats.org/officeDocument/2006/relationships/worksheet" Target="/xl/worksheets/sheet3.xml" Id="Rff56243e1ae24645" /><Relationship Type="http://schemas.openxmlformats.org/officeDocument/2006/relationships/worksheet" Target="/xl/worksheets/sheet4.xml" Id="R886a04bd885745a5" /><Relationship Type="http://schemas.openxmlformats.org/officeDocument/2006/relationships/worksheet" Target="/xl/worksheets/sheet5.xml" Id="R3aa05c2d41d94e5d" /><Relationship Type="http://schemas.openxmlformats.org/officeDocument/2006/relationships/worksheet" Target="/xl/worksheets/sheet6.xml" Id="Rb2c3ea64182047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1a376a1cd649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優先SKUの在庫原価（概算・円）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在庫原価（概算）</c:v>
          </c:tx>
          <c:cat>
            <c:strRef>
              <c:f>'見本レポート'!$P$24:$P$28</c:f>
              <c:strCache>
                <c:ptCount val="0"/>
              </c:strCache>
            </c:strRef>
          </c:cat>
          <c:val>
            <c:numRef>
              <c:f>'見本レポート'!$Q$24:$Q$28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8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1a376a1cd649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DataTable" displayName="SyntheticDataTable" ref="A4:W44" headerRowCount="1" totalsRowCount="0" totalsRowShown="0">
  <x:tableColumns count="23">
    <x:tableColumn id="1" name="SKU"/>
    <x:tableColumn id="2" name="商品名"/>
    <x:tableColumn id="3" name="カテゴリ"/>
    <x:tableColumn id="4" name="販路"/>
    <x:tableColumn id="5" name="在庫数"/>
    <x:tableColumn id="6" name="最古在庫の入庫日（任意）"/>
    <x:tableColumn id="7" name="最終販売日"/>
    <x:tableColumn id="8" name="直近30日販売数"/>
    <x:tableColumn id="9" name="販売単価"/>
    <x:tableColumn id="10" name="原価"/>
    <x:tableColumn id="11" name="手数料率"/>
    <x:tableColumn id="12" name="送料/件"/>
    <x:tableColumn id="13" name="変動広告費/件"/>
    <x:tableColumn id="14" name="手数料/件"/>
    <x:tableColumn id="15" name="貢献利益/件"/>
    <x:tableColumn id="16" name="貢献利益率"/>
    <x:tableColumn id="17" name="直近30日売上"/>
    <x:tableColumn id="18" name="直近30日貢献利益"/>
    <x:tableColumn id="19" name="最終販売からの日数"/>
    <x:tableColumn id="20" name="滞留区分"/>
    <x:tableColumn id="21" name="判定"/>
    <x:tableColumn id="22" name="優先度"/>
    <x:tableColumn id="23" name="推奨アクション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TemplateTable" displayName="InputTemplateTable" ref="A4:W304" headerRowCount="1" totalsRowCount="0" totalsRowShown="0">
  <x:tableColumns count="23">
    <x:tableColumn id="1" name="SKU"/>
    <x:tableColumn id="2" name="商品名"/>
    <x:tableColumn id="3" name="カテゴリ"/>
    <x:tableColumn id="4" name="販路"/>
    <x:tableColumn id="5" name="在庫数"/>
    <x:tableColumn id="6" name="最古在庫の入庫日（任意）"/>
    <x:tableColumn id="7" name="最終販売日"/>
    <x:tableColumn id="8" name="直近30日販売数"/>
    <x:tableColumn id="9" name="販売単価"/>
    <x:tableColumn id="10" name="原価"/>
    <x:tableColumn id="11" name="手数料率"/>
    <x:tableColumn id="12" name="送料/件"/>
    <x:tableColumn id="13" name="変動広告費/件"/>
    <x:tableColumn id="14" name="手数料/件"/>
    <x:tableColumn id="15" name="貢献利益/件"/>
    <x:tableColumn id="16" name="貢献利益率"/>
    <x:tableColumn id="17" name="直近30日売上"/>
    <x:tableColumn id="18" name="直近30日貢献利益"/>
    <x:tableColumn id="19" name="最終販売からの日数"/>
    <x:tableColumn id="20" name="滞留区分"/>
    <x:tableColumn id="21" name="判定"/>
    <x:tableColumn id="22" name="優先度"/>
    <x:tableColumn id="23" name="推奨アクション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TrackerTable" displayName="ValidationTrackerTable" ref="A4:P54" headerRowCount="1" totalsRowCount="0" totalsRowShown="0">
  <x:tableColumns count="16">
    <x:tableColumn id="1" name="見込み客ID"/>
    <x:tableColumn id="2" name="事業者名"/>
    <x:tableColumn id="3" name="商品カテゴリ"/>
    <x:tableColumn id="4" name="接点・紹介元"/>
    <x:tableColumn id="5" name="提案日"/>
    <x:tableColumn id="6" name="ステータス"/>
    <x:tableColumn id="7" name="提案商品"/>
    <x:tableColumn id="8" name="提示価格"/>
    <x:tableColumn id="9" name="支払状況"/>
    <x:tableColumn id="10" name="面談予定"/>
    <x:tableColumn id="11" name="次アクション"/>
    <x:tableColumn id="12" name="次回期限"/>
    <x:tableColumn id="13" name="反応・課題"/>
    <x:tableColumn id="14" name="匿名化CSV受領"/>
    <x:tableColumn id="15" name="実作業時間"/>
    <x:tableColumn id="16" name="学び・却下理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b8cc370542d48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8a67a808b2b4d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c3b4e6857fe4a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d79f4f0442149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7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3" t="str">
        <x:v>はじめに｜EC粗利・滞留在庫レポートの有料検証キット</x:v>
      </x:c>
      <x:c r="B1" s="3" t="str">
        <x:v>はじめに｜EC粗利・滞留在庫レポートの有料検証キット</x:v>
      </x:c>
      <x:c r="C1" s="3" t="str">
        <x:v>はじめに｜EC粗利・滞留在庫レポートの有料検証キット</x:v>
      </x:c>
      <x:c r="D1" s="3" t="str">
        <x:v>はじめに｜EC粗利・滞留在庫レポートの有料検証キット</x:v>
      </x:c>
      <x:c r="E1" s="3" t="str">
        <x:v>はじめに｜EC粗利・滞留在庫レポートの有料検証キット</x:v>
      </x:c>
      <x:c r="F1" s="3" t="str">
        <x:v>はじめに｜EC粗利・滞留在庫レポートの有料検証キット</x:v>
      </x:c>
      <x:c r="G1" s="3" t="str">
        <x:v>はじめに｜EC粗利・滞留在庫レポートの有料検証キット</x:v>
      </x:c>
      <x:c r="H1" s="3" t="str">
        <x:v>はじめに｜EC粗利・滞留在庫レポートの有料検証キット</x:v>
      </x:c>
      <x:c r="I1" s="3" t="str">
        <x:v>はじめに｜EC粗利・滞留在庫レポートの有料検証キット</x:v>
      </x:c>
      <x:c r="J1" s="3" t="str">
        <x:v>はじめに｜EC粗利・滞留在庫レポートの有料検証キット</x:v>
      </x:c>
      <x:c r="K1" s="3" t="str">
        <x:v>はじめに｜EC粗利・滞留在庫レポートの有料検証キット</x:v>
      </x:c>
      <x:c r="L1" s="3" t="str">
        <x:v>はじめに｜EC粗利・滞留在庫レポートの有料検証キット</x:v>
      </x:c>
    </x:row>
    <x:row r="3" ht="28" customHeight="1">
      <x:c r="A3" s="6" t="str">
        <x:v>目的：7〜14日以内に、実際の入金または具体的な発注意思を確認すること。SaaS開発やEC連携の実装はまだ行いません。</x:v>
      </x:c>
    </x:row>
    <x:row r="5" ht="22" customHeight="1">
      <x:c r="A5" s="9" t="str">
        <x:v>このファイルの使い方</x:v>
      </x:c>
      <x:c r="B5" s="9" t="str">
        <x:v>このファイルの使い方</x:v>
      </x:c>
      <x:c r="C5" s="9" t="str">
        <x:v>このファイルの使い方</x:v>
      </x:c>
      <x:c r="D5" s="9" t="str">
        <x:v>このファイルの使い方</x:v>
      </x:c>
      <x:c r="E5" s="9" t="str">
        <x:v>このファイルの使い方</x:v>
      </x:c>
      <x:c r="F5" s="9" t="str">
        <x:v>このファイルの使い方</x:v>
      </x:c>
      <x:c r="G5" s="9" t="str">
        <x:v>このファイルの使い方</x:v>
      </x:c>
      <x:c r="H5" s="9" t="str">
        <x:v>このファイルの使い方</x:v>
      </x:c>
      <x:c r="I5" s="9" t="str">
        <x:v>このファイルの使い方</x:v>
      </x:c>
      <x:c r="J5" s="9" t="str">
        <x:v>このファイルの使い方</x:v>
      </x:c>
      <x:c r="K5" s="9" t="str">
        <x:v>このファイルの使い方</x:v>
      </x:c>
      <x:c r="L5" s="9" t="str">
        <x:v>このファイルの使い方</x:v>
      </x:c>
    </x:row>
    <x:row r="6" ht="34" customHeight="1">
      <x:c r="A6" s="13" t="str">
        <x:v>順番</x:v>
      </x:c>
      <x:c r="B6" s="13" t="str">
        <x:v>シート</x:v>
      </x:c>
      <x:c r="C6" s="13" t="str">
        <x:v>使う場面</x:v>
      </x:c>
    </x:row>
    <x:row r="7">
      <x:c r="A7" s="17" t="str">
        <x:v>1</x:v>
      </x:c>
      <x:c r="B7" s="15" t="str">
        <x:v>見本レポート</x:v>
      </x:c>
      <x:c r="C7" s="15" t="str">
        <x:v>合成データで、納品物の見た目と判断の流れを見せる</x:v>
      </x:c>
    </x:row>
    <x:row r="8">
      <x:c r="A8" s="17" t="str">
        <x:v>2</x:v>
      </x:c>
      <x:c r="B8" s="15" t="str">
        <x:v>入力テンプレート</x:v>
      </x:c>
      <x:c r="C8" s="15" t="str">
        <x:v>前払い後に、匿名化済みCSV/Excelの入力項目を共有する</x:v>
      </x:c>
    </x:row>
    <x:row r="9">
      <x:c r="A9" s="17" t="str">
        <x:v>3</x:v>
      </x:c>
      <x:c r="B9" s="15" t="str">
        <x:v>提案文</x:v>
      </x:c>
      <x:c r="C9" s="15" t="str">
        <x:v>個別提案と3日後のフォローアップに使う</x:v>
      </x:c>
    </x:row>
    <x:row r="10">
      <x:c r="A10" s="17" t="str">
        <x:v>4</x:v>
      </x:c>
      <x:c r="B10" s="15" t="str">
        <x:v>検証管理表</x:v>
      </x:c>
      <x:c r="C10" s="15" t="str">
        <x:v>見込み客・入金・学びを記録してGO/STOPを判断する</x:v>
      </x:c>
    </x:row>
    <x:row r="11">
      <x:c r="A11" s="17" t="str">
        <x:v>5</x:v>
      </x:c>
      <x:c r="B11" s="15" t="str">
        <x:v>合成データ</x:v>
      </x:c>
      <x:c r="C11" s="15" t="str">
        <x:v>説明用の裏付け。顧客データではないことを明示する</x:v>
      </x:c>
    </x:row>
    <x:row r="13" ht="22" customHeight="1">
      <x:c r="A13" s="9" t="str">
        <x:v>有料PoCの固定仕様</x:v>
      </x:c>
      <x:c r="B13" s="9" t="str">
        <x:v>有料PoCの固定仕様</x:v>
      </x:c>
      <x:c r="C13" s="9" t="str">
        <x:v>有料PoCの固定仕様</x:v>
      </x:c>
      <x:c r="D13" s="9" t="str">
        <x:v>有料PoCの固定仕様</x:v>
      </x:c>
      <x:c r="E13" s="9" t="str">
        <x:v>有料PoCの固定仕様</x:v>
      </x:c>
      <x:c r="F13" s="9" t="str">
        <x:v>有料PoCの固定仕様</x:v>
      </x:c>
      <x:c r="G13" s="9" t="str">
        <x:v>有料PoCの固定仕様</x:v>
      </x:c>
      <x:c r="H13" s="9" t="str">
        <x:v>有料PoCの固定仕様</x:v>
      </x:c>
      <x:c r="I13" s="9" t="str">
        <x:v>有料PoCの固定仕様</x:v>
      </x:c>
      <x:c r="J13" s="9" t="str">
        <x:v>有料PoCの固定仕様</x:v>
      </x:c>
      <x:c r="K13" s="9" t="str">
        <x:v>有料PoCの固定仕様</x:v>
      </x:c>
      <x:c r="L13" s="9" t="str">
        <x:v>有料PoCの固定仕様</x:v>
      </x:c>
    </x:row>
    <x:row r="14" ht="34" customHeight="1">
      <x:c r="A14" s="13" t="str">
        <x:v>項目</x:v>
      </x:c>
      <x:c r="B14" s="13" t="str">
        <x:v>固定仕様</x:v>
      </x:c>
      <x:c r="C14" s="13" t="str">
        <x:v>守る理由</x:v>
      </x:c>
    </x:row>
    <x:row r="15">
      <x:c r="A15" s="19" t="str">
        <x:v>対象</x:v>
      </x:c>
      <x:c r="B15" s="15" t="str">
        <x:v>PC以外、1〜2販路、最大300SKU</x:v>
      </x:c>
      <x:c r="C15" s="15" t="str">
        <x:v>中古PC事業の競争優位を守る</x:v>
      </x:c>
    </x:row>
    <x:row r="16">
      <x:c r="A16" s="19" t="str">
        <x:v>価格</x:v>
      </x:c>
      <x:c r="B16" s="15" t="str">
        <x:v>初回3社：5,500円、全額前払い</x:v>
      </x:c>
      <x:c r="C16" s="15" t="str">
        <x:v>興味ではなく支払意思を検証する</x:v>
      </x:c>
    </x:row>
    <x:row r="17">
      <x:c r="A17" s="19" t="str">
        <x:v>納期</x:v>
      </x:c>
      <x:c r="B17" s="15" t="str">
        <x:v>匿名化済みデータ受領から3営業日以内</x:v>
      </x:c>
      <x:c r="C17" s="15" t="str">
        <x:v>1日1時間で守れる納期にする</x:v>
      </x:c>
    </x:row>
    <x:row r="18">
      <x:c r="A18" s="19" t="str">
        <x:v>納品</x:v>
      </x:c>
      <x:c r="B18" s="15" t="str">
        <x:v>赤字SKU、最終販売から60/90日、次月3アクション</x:v>
      </x:c>
      <x:c r="C18" s="15" t="str">
        <x:v>分析ではなく意思決定を売る</x:v>
      </x:c>
    </x:row>
    <x:row r="19">
      <x:c r="A19" s="19" t="str">
        <x:v>受け取らないもの</x:v>
      </x:c>
      <x:c r="B19" s="15" t="str">
        <x:v>買主情報、住所、メール、注文番号、ログイン情報</x:v>
      </x:c>
      <x:c r="C19" s="15" t="str">
        <x:v>個人情報・認証情報を扱わない</x:v>
      </x:c>
    </x:row>
    <x:row r="20">
      <x:c r="A20" s="19" t="str">
        <x:v>非対応</x:v>
      </x:c>
      <x:c r="B20" s="15" t="str">
        <x:v>売上保証、税務判断、価格保証、スクレイピング</x:v>
      </x:c>
      <x:c r="C20" s="15" t="str">
        <x:v>責任範囲を限定する</x:v>
      </x:c>
    </x:row>
    <x:row r="21">
      <x:c r="A21" s="19" t="str">
        <x:v>継続</x:v>
      </x:c>
      <x:c r="B21" s="15" t="str">
        <x:v>同じ入力形式が反復する案件だけ月額11,000円を提案</x:v>
      </x:c>
      <x:c r="C21" s="15" t="str">
        <x:v>先に代行で反復性を確認する</x:v>
      </x:c>
    </x:row>
    <x:row r="23" ht="22" customHeight="1">
      <x:c r="A23" s="9" t="str">
        <x:v>GO / HOLD / STOP判定</x:v>
      </x:c>
      <x:c r="B23" s="9" t="str">
        <x:v>GO / HOLD / STOP判定</x:v>
      </x:c>
      <x:c r="C23" s="9" t="str">
        <x:v>GO / HOLD / STOP判定</x:v>
      </x:c>
      <x:c r="D23" s="9" t="str">
        <x:v>GO / HOLD / STOP判定</x:v>
      </x:c>
      <x:c r="E23" s="9" t="str">
        <x:v>GO / HOLD / STOP判定</x:v>
      </x:c>
      <x:c r="F23" s="9" t="str">
        <x:v>GO / HOLD / STOP判定</x:v>
      </x:c>
      <x:c r="G23" s="9" t="str">
        <x:v>GO / HOLD / STOP判定</x:v>
      </x:c>
      <x:c r="H23" s="9" t="str">
        <x:v>GO / HOLD / STOP判定</x:v>
      </x:c>
      <x:c r="I23" s="9" t="str">
        <x:v>GO / HOLD / STOP判定</x:v>
      </x:c>
      <x:c r="J23" s="9" t="str">
        <x:v>GO / HOLD / STOP判定</x:v>
      </x:c>
      <x:c r="K23" s="9" t="str">
        <x:v>GO / HOLD / STOP判定</x:v>
      </x:c>
      <x:c r="L23" s="9" t="str">
        <x:v>GO / HOLD / STOP判定</x:v>
      </x:c>
    </x:row>
    <x:row r="24" ht="34" customHeight="1">
      <x:c r="A24" s="13" t="str">
        <x:v>判定</x:v>
      </x:c>
      <x:c r="B24" s="13" t="str">
        <x:v>条件</x:v>
      </x:c>
      <x:c r="C24" s="13" t="str">
        <x:v>次の行動</x:v>
      </x:c>
    </x:row>
    <x:row r="25">
      <x:c r="A25" s="21" t="str">
        <x:v>GO</x:v>
      </x:c>
      <x:c r="B25" s="15" t="str">
        <x:v>5,500円以上の入金＋匿名化CSV受領が1件</x:v>
      </x:c>
      <x:c r="C25" s="15" t="str">
        <x:v>手作業で納品し、実作業時間を測る</x:v>
      </x:c>
    </x:row>
    <x:row r="26">
      <x:c r="A26" s="23" t="str">
        <x:v>HOLD</x:v>
      </x:c>
      <x:c r="B26" s="15" t="str">
        <x:v>価格・納期・支払日が入った具体的な発注</x:v>
      </x:c>
      <x:c r="C26" s="15" t="str">
        <x:v>支払日までのフォローだけを行う</x:v>
      </x:c>
    </x:row>
    <x:row r="27">
      <x:c r="A27" s="25" t="str">
        <x:v>STOP</x:v>
      </x:c>
      <x:c r="B27" s="15" t="str">
        <x:v>適格20件・会話5件以上で入金ゼロ、または1件3時間超</x:v>
      </x:c>
      <x:c r="C27" s="15" t="str">
        <x:v>対象業種または商品定義を1回だけ見直す</x:v>
      </x:c>
    </x:row>
  </x:sheetData>
  <x:mergeCells>
    <x:mergeCell ref="A1:L1"/>
    <x:mergeCell ref="A3:L3"/>
    <x:mergeCell ref="A5:L5"/>
    <x:mergeCell ref="A13:L13"/>
    <x:mergeCell ref="A23:L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7" hidden="0" customWidth="1"/>
    <x:col min="11" max="11" width="27" hidden="0" customWidth="1"/>
    <x:col min="12" max="12" width="2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 ht="28" customHeight="1">
      <x:c r="A1" s="3" t="str">
        <x:v>見本レポート｜非PC EC 在庫・粗利健康診断</x:v>
      </x:c>
      <x:c r="B1" s="3" t="str">
        <x:v>見本レポート｜非PC EC 在庫・粗利健康診断</x:v>
      </x:c>
      <x:c r="C1" s="3" t="str">
        <x:v>見本レポート｜非PC EC 在庫・粗利健康診断</x:v>
      </x:c>
      <x:c r="D1" s="3" t="str">
        <x:v>見本レポート｜非PC EC 在庫・粗利健康診断</x:v>
      </x:c>
      <x:c r="E1" s="3" t="str">
        <x:v>見本レポート｜非PC EC 在庫・粗利健康診断</x:v>
      </x:c>
      <x:c r="F1" s="3" t="str">
        <x:v>見本レポート｜非PC EC 在庫・粗利健康診断</x:v>
      </x:c>
      <x:c r="G1" s="3" t="str">
        <x:v>見本レポート｜非PC EC 在庫・粗利健康診断</x:v>
      </x:c>
      <x:c r="H1" s="3" t="str">
        <x:v>見本レポート｜非PC EC 在庫・粗利健康診断</x:v>
      </x:c>
      <x:c r="I1" s="3" t="str">
        <x:v>見本レポート｜非PC EC 在庫・粗利健康診断</x:v>
      </x:c>
      <x:c r="J1" s="3" t="str">
        <x:v>見本レポート｜非PC EC 在庫・粗利健康診断</x:v>
      </x:c>
      <x:c r="K1" s="3" t="str">
        <x:v>見本レポート｜非PC EC 在庫・粗利健康診断</x:v>
      </x:c>
      <x:c r="L1" s="3" t="str">
        <x:v>見本レポート｜非PC EC 在庫・粗利健康診断</x:v>
      </x:c>
      <x:c r="M1" s="3" t="str">
        <x:v>見本レポート｜非PC EC 在庫・粗利健康診断</x:v>
      </x:c>
      <x:c r="N1" s="3" t="str">
        <x:v>見本レポート｜非PC EC 在庫・粗利健康診断</x:v>
      </x:c>
      <x:c r="O1" s="3" t="str">
        <x:v>見本レポート｜非PC EC 在庫・粗利健康診断</x:v>
      </x:c>
      <x:c r="P1" s="3" t="str">
        <x:v>見本レポート｜非PC EC 在庫・粗利健康診断</x:v>
      </x:c>
      <x:c r="Q1" s="3" t="str">
        <x:v>見本レポート｜非PC EC 在庫・粗利健康診断</x:v>
      </x:c>
      <x:c r="R1" s="3" t="str">
        <x:v>見本レポート｜非PC EC 在庫・粗利健康診断</x:v>
      </x:c>
      <x:c r="S1" s="3" t="str">
        <x:v>見本レポート｜非PC EC 在庫・粗利健康診断</x:v>
      </x:c>
      <x:c r="T1" s="3" t="str">
        <x:v>見本レポート｜非PC EC 在庫・粗利健康診断</x:v>
      </x:c>
      <x:c r="U1" s="3" t="str">
        <x:v>見本レポート｜非PC EC 在庫・粗利健康診断</x:v>
      </x:c>
      <x:c r="V1" s="3" t="str">
        <x:v>見本レポート｜非PC EC 在庫・粗利健康診断</x:v>
      </x:c>
      <x:c r="W1" s="3" t="str">
        <x:v>見本レポート｜非PC EC 在庫・粗利健康診断</x:v>
      </x:c>
    </x:row>
    <x:row r="2" ht="26" customHeight="1">
      <x:c r="A2" s="28" t="str">
        <x:v>見本用の合成データに基づくレポートです。会計上の利益や売上を保証するものではなく、次の行動を決めるための一次診断です。</x:v>
      </x:c>
    </x:row>
    <x:row r="3">
      <x:c r="A3" t="str">
        <x:v>基準日</x:v>
      </x:c>
      <x:c r="B3" s="29" t="n">
        <x:v>46215</x:v>
      </x:c>
      <x:c r="D3" s="32" t="str">
        <x:v>対象：非PC商材／1〜2販路／50〜300SKUを想定。買主情報、住所、メール、注文番号は受け取りません。</x:v>
      </x:c>
    </x:row>
    <x:row r="5">
      <x:c r="A5" s="33" t="str">
        <x:v>直近30日売上</x:v>
      </x:c>
      <x:c r="B5" s="33" t="str">
        <x:v>直近30日売上</x:v>
      </x:c>
      <x:c r="D5" s="41" t="str">
        <x:v>直近30日貢献利益</x:v>
      </x:c>
      <x:c r="E5" s="41" t="str">
        <x:v>直近30日貢献利益</x:v>
      </x:c>
      <x:c r="G5" s="5" t="str">
        <x:v>貢献利益率</x:v>
      </x:c>
      <x:c r="H5" s="5" t="str">
        <x:v>貢献利益率</x:v>
      </x:c>
      <x:c r="J5" s="55" t="str">
        <x:v>赤字SKU数</x:v>
      </x:c>
      <x:c r="K5" s="55" t="str">
        <x:v>赤字SKU数</x:v>
      </x:c>
      <x:c r="M5" s="63" t="str">
        <x:v>90日以上滞留SKU</x:v>
      </x:c>
      <x:c r="N5" s="63" t="str">
        <x:v>90日以上滞留SKU</x:v>
      </x:c>
    </x:row>
    <x:row r="6">
      <x:c r="A6" s="36" t="n">
        <x:f>SUM('合成データ'!$Q$5:$Q$44)</x:f>
        <x:v>674000</x:v>
      </x:c>
      <x:c r="B6" s="37"/>
      <x:c r="D6" s="44" t="n">
        <x:f>SUM('合成データ'!$R$5:$R$44)</x:f>
        <x:v>215735.65</x:v>
      </x:c>
      <x:c r="E6" s="45"/>
      <x:c r="G6" s="50" t="n">
        <x:f>IFERROR(D6/A6,0)</x:f>
        <x:v>0.3200825667655786</x:v>
      </x:c>
      <x:c r="H6" s="51"/>
      <x:c r="J6" s="58" t="n">
        <x:f>COUNTIF('合成データ'!$U$5:$U$44,"赤字")</x:f>
        <x:v>1</x:v>
      </x:c>
      <x:c r="K6" s="59"/>
      <x:c r="M6" s="66" t="n">
        <x:f>COUNTIF('合成データ'!$T$5:$T$44,"90日以上")</x:f>
        <x:v>10</x:v>
      </x:c>
      <x:c r="N6" s="67"/>
    </x:row>
    <x:row r="7">
      <x:c r="A7" s="38"/>
      <x:c r="B7" s="39"/>
      <x:c r="D7" s="46"/>
      <x:c r="E7" s="47"/>
      <x:c r="G7" s="52"/>
      <x:c r="H7" s="53"/>
      <x:c r="J7" s="60"/>
      <x:c r="K7" s="61"/>
      <x:c r="M7" s="68"/>
      <x:c r="N7" s="69"/>
    </x:row>
    <x:row r="9" ht="22" customHeight="1">
      <x:c r="A9" s="9" t="str">
        <x:v>優先アクション候補（合成データから抽出した例）</x:v>
      </x:c>
      <x:c r="B9" s="9" t="str">
        <x:v>優先アクション候補（合成データから抽出した例）</x:v>
      </x:c>
      <x:c r="C9" s="9" t="str">
        <x:v>優先アクション候補（合成データから抽出した例）</x:v>
      </x:c>
      <x:c r="D9" s="9" t="str">
        <x:v>優先アクション候補（合成データから抽出した例）</x:v>
      </x:c>
      <x:c r="E9" s="9" t="str">
        <x:v>優先アクション候補（合成データから抽出した例）</x:v>
      </x:c>
      <x:c r="F9" s="9" t="str">
        <x:v>優先アクション候補（合成データから抽出した例）</x:v>
      </x:c>
      <x:c r="G9" s="9" t="str">
        <x:v>優先アクション候補（合成データから抽出した例）</x:v>
      </x:c>
      <x:c r="H9" s="9" t="str">
        <x:v>優先アクション候補（合成データから抽出した例）</x:v>
      </x:c>
      <x:c r="I9" s="9" t="str">
        <x:v>優先アクション候補（合成データから抽出した例）</x:v>
      </x:c>
      <x:c r="J9" s="9" t="str">
        <x:v>優先アクション候補（合成データから抽出した例）</x:v>
      </x:c>
      <x:c r="K9" s="9" t="str">
        <x:v>優先アクション候補（合成データから抽出した例）</x:v>
      </x:c>
    </x:row>
    <x:row r="10" ht="34" customHeight="1">
      <x:c r="A10" s="13" t="str">
        <x:v>優先</x:v>
      </x:c>
      <x:c r="B10" s="13" t="str">
        <x:v>SKU</x:v>
      </x:c>
      <x:c r="C10" s="13" t="str">
        <x:v>商品</x:v>
      </x:c>
      <x:c r="D10" s="13" t="str">
        <x:v>カテゴリ</x:v>
      </x:c>
      <x:c r="E10" s="13" t="str">
        <x:v>販路</x:v>
      </x:c>
      <x:c r="F10" s="13" t="str">
        <x:v>最終販売からの日数</x:v>
      </x:c>
      <x:c r="G10" s="13" t="str">
        <x:v>直近30日販売</x:v>
      </x:c>
      <x:c r="H10" s="13" t="str">
        <x:v>貢献利益/件</x:v>
      </x:c>
      <x:c r="I10" s="13" t="str">
        <x:v>優先度</x:v>
      </x:c>
      <x:c r="J10" s="13" t="str">
        <x:v>推奨アクション</x:v>
      </x:c>
      <x:c r="K10" s="13" t="str">
        <x:v>判定理由</x:v>
      </x:c>
    </x:row>
    <x:row r="11">
      <x:c r="A11" s="15" t="n">
        <x:f>1</x:f>
        <x:v>1</x:v>
      </x:c>
      <x:c r="B11" s="15" t="str">
        <x:f>'合成データ'!A7</x:f>
        <x:v>SYN-003</x:v>
      </x:c>
      <x:c r="C11" s="15" t="str">
        <x:f>'合成データ'!B7</x:f>
        <x:v>キャンバス収納ボックス</x:v>
      </x:c>
      <x:c r="D11" s="15" t="str">
        <x:f>'合成データ'!C7</x:f>
        <x:v>生活雑貨</x:v>
      </x:c>
      <x:c r="E11" s="15" t="str">
        <x:f>'合成データ'!D7</x:f>
        <x:v>モールB</x:v>
      </x:c>
      <x:c r="F11" s="71" t="n">
        <x:f>'合成データ'!S7</x:f>
        <x:v>101</x:v>
      </x:c>
      <x:c r="G11" s="71" t="n">
        <x:f>'合成データ'!H7</x:f>
        <x:v>0</x:v>
      </x:c>
      <x:c r="H11" s="71" t="n">
        <x:f>'合成データ'!O7</x:f>
        <x:v>-78</x:v>
      </x:c>
      <x:c r="I11" s="71" t="n">
        <x:f>'合成データ'!V7</x:f>
        <x:v>190</x:v>
      </x:c>
      <x:c r="J11" s="15" t="str">
        <x:f>'合成データ'!W7</x:f>
        <x:v>価格・原価・送料を再確認</x:v>
      </x:c>
      <x:c r="K11" s="15" t="str">
        <x:f>"赤字かつ最終販売から90日超。原価・送料・価格を同時に確認。"</x:f>
        <x:v>赤字かつ最終販売から90日超。原価・送料・価格を同時に確認。</x:v>
      </x:c>
    </x:row>
    <x:row r="12">
      <x:c r="A12" s="15" t="n">
        <x:f>2</x:f>
        <x:v>2</x:v>
      </x:c>
      <x:c r="B12" s="15" t="str">
        <x:f>'合成データ'!A17</x:f>
        <x:v>SYN-013</x:v>
      </x:c>
      <x:c r="C12" s="15" t="str">
        <x:f>'合成データ'!B17</x:f>
        <x:v>ウールキャップ</x:v>
      </x:c>
      <x:c r="D12" s="15" t="str">
        <x:f>'合成データ'!C17</x:f>
        <x:v>服飾小物</x:v>
      </x:c>
      <x:c r="E12" s="15" t="str">
        <x:f>'合成データ'!D17</x:f>
        <x:v>モールA</x:v>
      </x:c>
      <x:c r="F12" s="71" t="n">
        <x:f>'合成データ'!S17</x:f>
        <x:v>98</x:v>
      </x:c>
      <x:c r="G12" s="71" t="n">
        <x:f>'合成データ'!H17</x:f>
        <x:v>0</x:v>
      </x:c>
      <x:c r="H12" s="71" t="n">
        <x:f>'合成データ'!O17</x:f>
        <x:v>241.20000000000005</x:v>
      </x:c>
      <x:c r="I12" s="71" t="n">
        <x:f>'合成データ'!V17</x:f>
        <x:v>90</x:v>
      </x:c>
      <x:c r="J12" s="15" t="str">
        <x:f>'合成データ'!W17</x:f>
        <x:v>値下げ・再出品・仕入停止を検討</x:v>
      </x:c>
      <x:c r="K12" s="15" t="str">
        <x:f>"低利益かつ90日超。少数SKUで値下げ・再出品を検証。"</x:f>
        <x:v>低利益かつ90日超。少数SKUで値下げ・再出品を検証。</x:v>
      </x:c>
    </x:row>
    <x:row r="13">
      <x:c r="A13" s="15" t="n">
        <x:f>3</x:f>
        <x:v>3</x:v>
      </x:c>
      <x:c r="B13" s="15" t="str">
        <x:f>'合成データ'!A8</x:f>
        <x:v>SYN-004</x:v>
      </x:c>
      <x:c r="C13" s="15" t="str">
        <x:f>'合成データ'!B8</x:f>
        <x:v>折りたたみアウトドアチェア</x:v>
      </x:c>
      <x:c r="D13" s="15" t="str">
        <x:f>'合成データ'!C8</x:f>
        <x:v>アウトドア</x:v>
      </x:c>
      <x:c r="E13" s="15" t="str">
        <x:f>'合成データ'!D8</x:f>
        <x:v>モールA</x:v>
      </x:c>
      <x:c r="F13" s="71" t="n">
        <x:f>'合成データ'!S8</x:f>
        <x:v>95</x:v>
      </x:c>
      <x:c r="G13" s="71" t="n">
        <x:f>'合成データ'!H8</x:f>
        <x:v>0</x:v>
      </x:c>
      <x:c r="H13" s="71" t="n">
        <x:f>'合成データ'!O8</x:f>
        <x:v>532.4000000000001</x:v>
      </x:c>
      <x:c r="I13" s="71" t="n">
        <x:f>'合成データ'!V8</x:f>
        <x:v>80</x:v>
      </x:c>
      <x:c r="J13" s="15" t="str">
        <x:f>'合成データ'!W8</x:f>
        <x:v>値下げ・再出品・仕入停止を検討</x:v>
      </x:c>
      <x:c r="K13" s="15" t="str">
        <x:f>"最終販売から90日超かつ販売ゼロ。追加仕入を止める候補。"</x:f>
        <x:v>最終販売から90日超かつ販売ゼロ。追加仕入を止める候補。</x:v>
      </x:c>
    </x:row>
    <x:row r="14">
      <x:c r="A14" s="15" t="n">
        <x:f>4</x:f>
        <x:v>4</x:v>
      </x:c>
      <x:c r="B14" s="15" t="str">
        <x:f>'合成データ'!A18</x:f>
        <x:v>SYN-014</x:v>
      </x:c>
      <x:c r="C14" s="15" t="str">
        <x:f>'合成データ'!B18</x:f>
        <x:v>木製カトラリーセット</x:v>
      </x:c>
      <x:c r="D14" s="15" t="str">
        <x:f>'合成データ'!C18</x:f>
        <x:v>アウトドア</x:v>
      </x:c>
      <x:c r="E14" s="15" t="str">
        <x:f>'合成データ'!D18</x:f>
        <x:v>モールB</x:v>
      </x:c>
      <x:c r="F14" s="71" t="n">
        <x:f>'合成データ'!S18</x:f>
        <x:v>115</x:v>
      </x:c>
      <x:c r="G14" s="71" t="n">
        <x:f>'合成データ'!H18</x:f>
        <x:v>0</x:v>
      </x:c>
      <x:c r="H14" s="71" t="n">
        <x:f>'合成データ'!O18</x:f>
        <x:v>421</x:v>
      </x:c>
      <x:c r="I14" s="71" t="n">
        <x:f>'合成データ'!V18</x:f>
        <x:v>80</x:v>
      </x:c>
      <x:c r="J14" s="15" t="str">
        <x:f>'合成データ'!W18</x:f>
        <x:v>値下げ・再出品・仕入停止を検討</x:v>
      </x:c>
      <x:c r="K14" s="15" t="str">
        <x:f>"長期未販売のため、在庫圧縮前に商品ページと販路を見直す。"</x:f>
        <x:v>長期未販売のため、在庫圧縮前に商品ページと販路を見直す。</x:v>
      </x:c>
    </x:row>
    <x:row r="15">
      <x:c r="A15" s="15" t="n">
        <x:f>5</x:f>
        <x:v>5</x:v>
      </x:c>
      <x:c r="B15" s="15" t="str">
        <x:f>'合成データ'!A24</x:f>
        <x:v>SYN-020</x:v>
      </x:c>
      <x:c r="C15" s="15" t="str">
        <x:f>'合成データ'!B24</x:f>
        <x:v>コースターセット</x:v>
      </x:c>
      <x:c r="D15" s="15" t="str">
        <x:f>'合成データ'!C24</x:f>
        <x:v>アウトドア</x:v>
      </x:c>
      <x:c r="E15" s="15" t="str">
        <x:f>'合成データ'!D24</x:f>
        <x:v>モールB</x:v>
      </x:c>
      <x:c r="F15" s="71" t="n">
        <x:f>'合成データ'!S24</x:f>
        <x:v>93</x:v>
      </x:c>
      <x:c r="G15" s="71" t="n">
        <x:f>'合成データ'!H24</x:f>
        <x:v>0</x:v>
      </x:c>
      <x:c r="H15" s="71" t="n">
        <x:f>'合成データ'!O24</x:f>
        <x:v>932</x:v>
      </x:c>
      <x:c r="I15" s="71" t="n">
        <x:f>'合成データ'!V24</x:f>
        <x:v>60</x:v>
      </x:c>
      <x:c r="J15" s="15" t="str">
        <x:f>'合成データ'!W24</x:f>
        <x:v>値下げ・再出品・仕入停止を検討</x:v>
      </x:c>
      <x:c r="K15" s="15" t="str">
        <x:f>"90日超・販売ゼロ。セット化または処分基準を決める。"</x:f>
        <x:v>90日超・販売ゼロ。セット化または処分基準を決める。</x:v>
      </x:c>
    </x:row>
    <x:row r="18" ht="22" customHeight="1">
      <x:c r="A18" s="9" t="str">
        <x:v>納品時に説明する3つのアクション</x:v>
      </x:c>
      <x:c r="B18" s="9" t="str">
        <x:v>納品時に説明する3つのアクション</x:v>
      </x:c>
      <x:c r="C18" s="9" t="str">
        <x:v>納品時に説明する3つのアクション</x:v>
      </x:c>
      <x:c r="D18" s="9" t="str">
        <x:v>納品時に説明する3つのアクション</x:v>
      </x:c>
      <x:c r="E18" s="9" t="str">
        <x:v>納品時に説明する3つのアクション</x:v>
      </x:c>
      <x:c r="F18" s="9" t="str">
        <x:v>納品時に説明する3つのアクション</x:v>
      </x:c>
      <x:c r="G18" s="9" t="str">
        <x:v>納品時に説明する3つのアクション</x:v>
      </x:c>
      <x:c r="H18" s="9" t="str">
        <x:v>納品時に説明する3つのアクション</x:v>
      </x:c>
      <x:c r="I18" s="9" t="str">
        <x:v>納品時に説明する3つのアクション</x:v>
      </x:c>
      <x:c r="J18" s="9" t="str">
        <x:v>納品時に説明する3つのアクション</x:v>
      </x:c>
      <x:c r="K18" s="9" t="str">
        <x:v>納品時に説明する3つのアクション</x:v>
      </x:c>
    </x:row>
    <x:row r="19" ht="31" customHeight="1">
      <x:c r="A19" s="19" t="str">
        <x:v>1</x:v>
      </x:c>
      <x:c r="B19" s="74" t="str">
        <x:v>赤字SKUの原因確認</x:v>
      </x:c>
      <x:c r="C19" s="15" t="str">
        <x:v>販売価格だけでなく、原価・手数料・送料・広告費を同じ行で確認します。</x:v>
      </x:c>
      <x:c r="D19" s="15"/>
      <x:c r="E19" s="15"/>
      <x:c r="F19" s="15"/>
      <x:c r="G19" s="15"/>
      <x:c r="H19" s="15"/>
      <x:c r="I19" s="15"/>
      <x:c r="J19" s="15"/>
      <x:c r="K19" s="15"/>
    </x:row>
    <x:row r="20" ht="31" customHeight="1">
      <x:c r="A20" s="19" t="str">
        <x:v>2</x:v>
      </x:c>
      <x:c r="B20" s="74" t="str">
        <x:v>90日以上の滞留在庫を小さく試す</x:v>
      </x:c>
      <x:c r="C20" s="15" t="str">
        <x:v>一斉値下げではなく、値下げ・再出品・セット化をSKU単位で試します。</x:v>
      </x:c>
      <x:c r="D20" s="15"/>
      <x:c r="E20" s="15"/>
      <x:c r="F20" s="15"/>
      <x:c r="G20" s="15"/>
      <x:c r="H20" s="15"/>
      <x:c r="I20" s="15"/>
      <x:c r="J20" s="15"/>
      <x:c r="K20" s="15"/>
    </x:row>
    <x:row r="21" ht="31" customHeight="1">
      <x:c r="A21" s="19" t="str">
        <x:v>3</x:v>
      </x:c>
      <x:c r="B21" s="74" t="str">
        <x:v>来月の仕入判断を固定する</x:v>
      </x:c>
      <x:c r="C21" s="15" t="str">
        <x:v>低利益かつ低回転の商品は追加仕入を止め、判断を翌月に再確認します。</x:v>
      </x:c>
      <x:c r="D21" s="15"/>
      <x:c r="E21" s="15"/>
      <x:c r="F21" s="15"/>
      <x:c r="G21" s="15"/>
      <x:c r="H21" s="15"/>
      <x:c r="I21" s="15"/>
      <x:c r="J21" s="15"/>
      <x:c r="K21" s="15"/>
    </x:row>
    <x:row r="22" ht="22" customHeight="1">
      <x:c r="A22" s="19" t="str">
        <x:v>注意</x:v>
      </x:c>
      <x:c r="B22" s="74" t="str">
        <x:v>これは意思決定支援</x:v>
      </x:c>
      <x:c r="C22" s="15" t="str">
        <x:v>税務・会計・価格保証・投資助言ではありません。最終判断は事業者自身が行います。</x:v>
      </x:c>
      <x:c r="D22" s="15"/>
      <x:c r="E22" s="15"/>
      <x:c r="F22" s="15"/>
      <x:c r="G22" s="15"/>
      <x:c r="H22" s="15"/>
      <x:c r="I22" s="15"/>
      <x:c r="J22" s="15"/>
      <x:c r="K22" s="15"/>
      <x:c r="P22" s="9" t="str">
        <x:v>チャート元データ</x:v>
      </x:c>
      <x:c r="Q22" s="9" t="str">
        <x:v>チャート元データ</x:v>
      </x:c>
    </x:row>
    <x:row r="23" ht="34" customHeight="1">
      <x:c r="P23" s="13" t="str">
        <x:v>商品</x:v>
      </x:c>
      <x:c r="Q23" s="13" t="str">
        <x:v>在庫原価（概算）</x:v>
      </x:c>
    </x:row>
    <x:row r="24">
      <x:c r="P24" s="14" t="str">
        <x:f>'合成データ'!B7</x:f>
        <x:v>キャンバス収納ボックス</x:v>
      </x:c>
      <x:c r="Q24" s="76" t="n">
        <x:f>'合成データ'!E7*'合成データ'!J7</x:f>
        <x:v>33300</x:v>
      </x:c>
    </x:row>
    <x:row r="25">
      <x:c r="P25" s="14" t="str">
        <x:f>'合成データ'!B17</x:f>
        <x:v>ウールキャップ</x:v>
      </x:c>
      <x:c r="Q25" s="76" t="n">
        <x:f>'合成データ'!E17*'合成データ'!J17</x:f>
        <x:v>23936</x:v>
      </x:c>
    </x:row>
    <x:row r="26">
      <x:c r="P26" s="14" t="str">
        <x:f>'合成データ'!B8</x:f>
        <x:v>折りたたみアウトドアチェア</x:v>
      </x:c>
      <x:c r="Q26" s="76" t="n">
        <x:f>'合成データ'!E8*'合成データ'!J8</x:f>
        <x:v>31800</x:v>
      </x:c>
    </x:row>
    <x:row r="27">
      <x:c r="P27" s="14" t="str">
        <x:f>'合成データ'!B18</x:f>
        <x:v>木製カトラリーセット</x:v>
      </x:c>
      <x:c r="Q27" s="76" t="n">
        <x:f>'合成データ'!E18*'合成データ'!J18</x:f>
        <x:v>5585</x:v>
      </x:c>
    </x:row>
    <x:row r="28">
      <x:c r="P28" s="14" t="str">
        <x:f>'合成データ'!B24</x:f>
        <x:v>コースターセット</x:v>
      </x:c>
      <x:c r="Q28" s="76" t="n">
        <x:f>'合成データ'!E24*'合成データ'!J24</x:f>
        <x:v>87584</x:v>
      </x:c>
    </x:row>
  </x:sheetData>
  <x:mergeCells>
    <x:mergeCell ref="A1:W1"/>
    <x:mergeCell ref="A2:W2"/>
    <x:mergeCell ref="D3:W3"/>
    <x:mergeCell ref="A5:B5"/>
    <x:mergeCell ref="A6:B7"/>
    <x:mergeCell ref="D5:E5"/>
    <x:mergeCell ref="D6:E7"/>
    <x:mergeCell ref="G5:H5"/>
    <x:mergeCell ref="G6:H7"/>
    <x:mergeCell ref="J5:K5"/>
    <x:mergeCell ref="J6:K7"/>
    <x:mergeCell ref="M5:N5"/>
    <x:mergeCell ref="M6:N7"/>
    <x:mergeCell ref="A9:K9"/>
    <x:mergeCell ref="A18:K18"/>
    <x:mergeCell ref="C19:K19"/>
    <x:mergeCell ref="C20:K20"/>
    <x:mergeCell ref="C21:K21"/>
    <x:mergeCell ref="C22:K22"/>
    <x:mergeCell ref="P22:Q22"/>
  </x:mergeCells>
  <x:conditionalFormatting sqref="H11:H15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eb8cc370542d48b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4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1" hidden="0" customWidth="1"/>
    <x:col min="11" max="11" width="10" hidden="0" customWidth="1"/>
    <x:col min="12" max="12" width="11" hidden="0" customWidth="1"/>
    <x:col min="13" max="13" width="14" hidden="0" customWidth="1"/>
    <x:col min="14" max="14" width="11" hidden="0" customWidth="1"/>
    <x:col min="15" max="15" width="13" hidden="0" customWidth="1"/>
    <x:col min="16" max="16" width="11" hidden="0" customWidth="1"/>
    <x:col min="17" max="17" width="13" hidden="0" customWidth="1"/>
    <x:col min="18" max="18" width="15" hidden="0" customWidth="1"/>
    <x:col min="19" max="19" width="10" hidden="0" customWidth="1"/>
    <x:col min="20" max="20" width="12" hidden="0" customWidth="1"/>
    <x:col min="21" max="21" width="11" hidden="0" customWidth="1"/>
    <x:col min="22" max="22" width="10" hidden="0" customWidth="1"/>
    <x:col min="23" max="23" width="31" hidden="0" customWidth="1"/>
  </x:cols>
  <x:sheetData>
    <x:row r="1" ht="28" customHeight="1">
      <x:c r="A1" s="3" t="str">
        <x:v>合成データ｜非PC EC 在庫・粗利分析の例</x:v>
      </x:c>
      <x:c r="B1" s="3" t="str">
        <x:v>合成データ｜非PC EC 在庫・粗利分析の例</x:v>
      </x:c>
      <x:c r="C1" s="3" t="str">
        <x:v>合成データ｜非PC EC 在庫・粗利分析の例</x:v>
      </x:c>
      <x:c r="D1" s="3" t="str">
        <x:v>合成データ｜非PC EC 在庫・粗利分析の例</x:v>
      </x:c>
      <x:c r="E1" s="3" t="str">
        <x:v>合成データ｜非PC EC 在庫・粗利分析の例</x:v>
      </x:c>
      <x:c r="F1" s="3" t="str">
        <x:v>合成データ｜非PC EC 在庫・粗利分析の例</x:v>
      </x:c>
      <x:c r="G1" s="3" t="str">
        <x:v>合成データ｜非PC EC 在庫・粗利分析の例</x:v>
      </x:c>
      <x:c r="H1" s="3" t="str">
        <x:v>合成データ｜非PC EC 在庫・粗利分析の例</x:v>
      </x:c>
      <x:c r="I1" s="3" t="str">
        <x:v>合成データ｜非PC EC 在庫・粗利分析の例</x:v>
      </x:c>
      <x:c r="J1" s="3" t="str">
        <x:v>合成データ｜非PC EC 在庫・粗利分析の例</x:v>
      </x:c>
      <x:c r="K1" s="3" t="str">
        <x:v>合成データ｜非PC EC 在庫・粗利分析の例</x:v>
      </x:c>
      <x:c r="L1" s="3" t="str">
        <x:v>合成データ｜非PC EC 在庫・粗利分析の例</x:v>
      </x:c>
      <x:c r="M1" s="3" t="str">
        <x:v>合成データ｜非PC EC 在庫・粗利分析の例</x:v>
      </x:c>
      <x:c r="N1" s="3" t="str">
        <x:v>合成データ｜非PC EC 在庫・粗利分析の例</x:v>
      </x:c>
      <x:c r="O1" s="3" t="str">
        <x:v>合成データ｜非PC EC 在庫・粗利分析の例</x:v>
      </x:c>
      <x:c r="P1" s="3" t="str">
        <x:v>合成データ｜非PC EC 在庫・粗利分析の例</x:v>
      </x:c>
      <x:c r="Q1" s="3" t="str">
        <x:v>合成データ｜非PC EC 在庫・粗利分析の例</x:v>
      </x:c>
      <x:c r="R1" s="3" t="str">
        <x:v>合成データ｜非PC EC 在庫・粗利分析の例</x:v>
      </x:c>
      <x:c r="S1" s="3" t="str">
        <x:v>合成データ｜非PC EC 在庫・粗利分析の例</x:v>
      </x:c>
      <x:c r="T1" s="3" t="str">
        <x:v>合成データ｜非PC EC 在庫・粗利分析の例</x:v>
      </x:c>
      <x:c r="U1" s="3" t="str">
        <x:v>合成データ｜非PC EC 在庫・粗利分析の例</x:v>
      </x:c>
      <x:c r="V1" s="3" t="str">
        <x:v>合成データ｜非PC EC 在庫・粗利分析の例</x:v>
      </x:c>
      <x:c r="W1" s="3" t="str">
        <x:v>合成データ｜非PC EC 在庫・粗利分析の例</x:v>
      </x:c>
    </x:row>
    <x:row r="2" ht="26" customHeight="1">
      <x:c r="A2" s="77" t="str">
        <x:v>完全な合成データです。実在の店舗・商品・売上は含みません。黄色の列が入力、青色の列が計算結果です。</x:v>
      </x:c>
    </x:row>
    <x:row r="3">
      <x:c r="A3" t="str">
        <x:v>基準日</x:v>
      </x:c>
      <x:c r="B3" s="29" t="n">
        <x:v>46215</x:v>
      </x:c>
      <x:c r="D3" s="32" t="str">
        <x:v>見本レポートの基準日と一致させています。実案件では「入力テンプレート」シートの基準日を更新してください。</x:v>
      </x:c>
    </x:row>
    <x:row r="4" ht="34" customHeight="1">
      <x:c r="A4" s="79" t="str">
        <x:v>SKU</x:v>
      </x:c>
      <x:c r="B4" s="79" t="str">
        <x:v>商品名</x:v>
      </x:c>
      <x:c r="C4" s="79" t="str">
        <x:v>カテゴリ</x:v>
      </x:c>
      <x:c r="D4" s="79" t="str">
        <x:v>販路</x:v>
      </x:c>
      <x:c r="E4" s="79" t="str">
        <x:v>在庫数</x:v>
      </x:c>
      <x:c r="F4" s="79" t="str">
        <x:v>最古在庫の入庫日（任意）</x:v>
      </x:c>
      <x:c r="G4" s="79" t="str">
        <x:v>最終販売日</x:v>
      </x:c>
      <x:c r="H4" s="79" t="str">
        <x:v>直近30日販売数</x:v>
      </x:c>
      <x:c r="I4" s="79" t="str">
        <x:v>販売単価</x:v>
      </x:c>
      <x:c r="J4" s="79" t="str">
        <x:v>原価</x:v>
      </x:c>
      <x:c r="K4" s="79" t="str">
        <x:v>手数料率</x:v>
      </x:c>
      <x:c r="L4" s="79" t="str">
        <x:v>送料/件</x:v>
      </x:c>
      <x:c r="M4" s="79" t="str">
        <x:v>変動広告費/件</x:v>
      </x:c>
      <x:c r="N4" s="79" t="str">
        <x:v>手数料/件</x:v>
      </x:c>
      <x:c r="O4" s="79" t="str">
        <x:v>貢献利益/件</x:v>
      </x:c>
      <x:c r="P4" s="79" t="str">
        <x:v>貢献利益率</x:v>
      </x:c>
      <x:c r="Q4" s="79" t="str">
        <x:v>直近30日売上</x:v>
      </x:c>
      <x:c r="R4" s="79" t="str">
        <x:v>直近30日貢献利益</x:v>
      </x:c>
      <x:c r="S4" s="79" t="str">
        <x:v>最終販売からの日数</x:v>
      </x:c>
      <x:c r="T4" s="79" t="str">
        <x:v>滞留区分</x:v>
      </x:c>
      <x:c r="U4" s="79" t="str">
        <x:v>判定</x:v>
      </x:c>
      <x:c r="V4" s="79" t="str">
        <x:v>優先度</x:v>
      </x:c>
      <x:c r="W4" s="79" t="str">
        <x:v>推奨アクション</x:v>
      </x:c>
    </x:row>
    <x:row r="5">
      <x:c r="A5" s="95" t="str">
        <x:v>SYN-001</x:v>
      </x:c>
      <x:c r="B5" s="95" t="str">
        <x:v>リネンショルダーバッグ</x:v>
      </x:c>
      <x:c r="C5" s="95" t="str">
        <x:v>服飾小物</x:v>
      </x:c>
      <x:c r="D5" s="95" t="str">
        <x:v>モールA</x:v>
      </x:c>
      <x:c r="E5" s="95" t="n">
        <x:v>6</x:v>
      </x:c>
      <x:c r="F5" s="96" t="n">
        <x:v>46195</x:v>
      </x:c>
      <x:c r="G5" s="96" t="n">
        <x:v>46212</x:v>
      </x:c>
      <x:c r="H5" s="95" t="n">
        <x:v>14</x:v>
      </x:c>
      <x:c r="I5" s="97" t="n">
        <x:v>5980</x:v>
      </x:c>
      <x:c r="J5" s="97" t="n">
        <x:v>1850</x:v>
      </x:c>
      <x:c r="K5" s="98" t="n">
        <x:v>0.12</x:v>
      </x:c>
      <x:c r="L5" s="97" t="n">
        <x:v>450</x:v>
      </x:c>
      <x:c r="M5" s="97" t="n">
        <x:v>0</x:v>
      </x:c>
      <x:c r="N5" s="99" t="n">
        <x:f>I5*K5</x:f>
        <x:v>717.6</x:v>
      </x:c>
      <x:c r="O5" s="99" t="n">
        <x:f>I5-J5-N5-L5-M5</x:f>
        <x:v>2962.4</x:v>
      </x:c>
      <x:c r="P5" s="100" t="n">
        <x:f>IFERROR(O5/I5,0)</x:f>
        <x:v>0.4953846153846154</x:v>
      </x:c>
      <x:c r="Q5" s="99" t="n">
        <x:f>H5*I5</x:f>
        <x:v>83720</x:v>
      </x:c>
      <x:c r="R5" s="99" t="n">
        <x:f>H5*O5</x:f>
        <x:v>41473.6</x:v>
      </x:c>
      <x:c r="S5" s="99" t="n">
        <x:f>'見本レポート'!$B$3-G5</x:f>
        <x:v>3</x:v>
      </x:c>
      <x:c r="T5" s="99" t="str">
        <x:f>IF(S5&gt;=90,"90日以上",IF(S5&gt;=60,"60-89日","59日以下"))</x:f>
        <x:v>59日以下</x:v>
      </x:c>
      <x:c r="U5" s="99" t="str">
        <x:f>IF(O5&lt;0,"赤字",IF(AND(S5&gt;=90,H5&lt;=2),"要見直し",IF(P5&lt;0.15,"低利益","通常")))</x:f>
        <x:v>通常</x:v>
      </x:c>
      <x:c r="V5" s="99" t="n">
        <x:f>IF(U5="赤字",100,0)+IF(S5&gt;=90,50,0)+IF(P5&lt;0.15,30,0)+IF(E5&gt;=15,10,0)</x:f>
        <x:v>0</x:v>
      </x:c>
      <x:c r="W5" s="101" t="str">
        <x:f>IF(U5="赤字","価格・原価・送料を再確認",IF(AND(S5&gt;=90,H5&lt;=2),"値下げ・再出品・仕入停止を検討",IF(P5&lt;0.15,"送料・手数料を見直す","継続観察")))</x:f>
        <x:v>継続観察</x:v>
      </x:c>
    </x:row>
    <x:row r="6">
      <x:c r="A6" s="95" t="str">
        <x:v>SYN-002</x:v>
      </x:c>
      <x:c r="B6" s="95" t="str">
        <x:v>木製アクセサリースタンド</x:v>
      </x:c>
      <x:c r="C6" s="95" t="str">
        <x:v>生活雑貨</x:v>
      </x:c>
      <x:c r="D6" s="95" t="str">
        <x:v>自社EC</x:v>
      </x:c>
      <x:c r="E6" s="95" t="n">
        <x:v>10</x:v>
      </x:c>
      <x:c r="F6" s="96" t="n">
        <x:v>46180</x:v>
      </x:c>
      <x:c r="G6" s="96" t="n">
        <x:v>46210</x:v>
      </x:c>
      <x:c r="H6" s="95" t="n">
        <x:v>9</x:v>
      </x:c>
      <x:c r="I6" s="97" t="n">
        <x:v>3480</x:v>
      </x:c>
      <x:c r="J6" s="97" t="n">
        <x:v>980</x:v>
      </x:c>
      <x:c r="K6" s="98" t="n">
        <x:v>0.035</x:v>
      </x:c>
      <x:c r="L6" s="97" t="n">
        <x:v>600</x:v>
      </x:c>
      <x:c r="M6" s="97" t="n">
        <x:v>80</x:v>
      </x:c>
      <x:c r="N6" s="99" t="n">
        <x:f>I6*K6</x:f>
        <x:v>121.80000000000001</x:v>
      </x:c>
      <x:c r="O6" s="99" t="n">
        <x:f>I6-J6-N6-L6-M6</x:f>
        <x:v>1698.1999999999998</x:v>
      </x:c>
      <x:c r="P6" s="100" t="n">
        <x:f>IFERROR(O6/I6,0)</x:f>
        <x:v>0.4879885057471264</x:v>
      </x:c>
      <x:c r="Q6" s="99" t="n">
        <x:f>H6*I6</x:f>
        <x:v>31320</x:v>
      </x:c>
      <x:c r="R6" s="99" t="n">
        <x:f>H6*O6</x:f>
        <x:v>15283.8</x:v>
      </x:c>
      <x:c r="S6" s="99" t="n">
        <x:f>'見本レポート'!$B$3-G6</x:f>
        <x:v>5</x:v>
      </x:c>
      <x:c r="T6" s="99" t="str">
        <x:f>IF(S6&gt;=90,"90日以上",IF(S6&gt;=60,"60-89日","59日以下"))</x:f>
        <x:v>59日以下</x:v>
      </x:c>
      <x:c r="U6" s="99" t="str">
        <x:f>IF(O6&lt;0,"赤字",IF(AND(S6&gt;=90,H6&lt;=2),"要見直し",IF(P6&lt;0.15,"低利益","通常")))</x:f>
        <x:v>通常</x:v>
      </x:c>
      <x:c r="V6" s="99" t="n">
        <x:f>IF(U6="赤字",100,0)+IF(S6&gt;=90,50,0)+IF(P6&lt;0.15,30,0)+IF(E6&gt;=15,10,0)</x:f>
        <x:v>0</x:v>
      </x:c>
      <x:c r="W6" s="101" t="str">
        <x:f>IF(U6="赤字","価格・原価・送料を再確認",IF(AND(S6&gt;=90,H6&lt;=2),"値下げ・再出品・仕入停止を検討",IF(P6&lt;0.15,"送料・手数料を見直す","継続観察")))</x:f>
        <x:v>継続観察</x:v>
      </x:c>
    </x:row>
    <x:row r="7">
      <x:c r="A7" s="95" t="str">
        <x:v>SYN-003</x:v>
      </x:c>
      <x:c r="B7" s="95" t="str">
        <x:v>キャンバス収納ボックス</x:v>
      </x:c>
      <x:c r="C7" s="95" t="str">
        <x:v>生活雑貨</x:v>
      </x:c>
      <x:c r="D7" s="95" t="str">
        <x:v>モールB</x:v>
      </x:c>
      <x:c r="E7" s="95" t="n">
        <x:v>18</x:v>
      </x:c>
      <x:c r="F7" s="96" t="n">
        <x:v>46097</x:v>
      </x:c>
      <x:c r="G7" s="96" t="n">
        <x:v>46114</x:v>
      </x:c>
      <x:c r="H7" s="95" t="n">
        <x:v>0</x:v>
      </x:c>
      <x:c r="I7" s="97" t="n">
        <x:v>2980</x:v>
      </x:c>
      <x:c r="J7" s="97" t="n">
        <x:v>1850</x:v>
      </x:c>
      <x:c r="K7" s="98" t="n">
        <x:v>0.1</x:v>
      </x:c>
      <x:c r="L7" s="97" t="n">
        <x:v>850</x:v>
      </x:c>
      <x:c r="M7" s="97" t="n">
        <x:v>60</x:v>
      </x:c>
      <x:c r="N7" s="99" t="n">
        <x:f>I7*K7</x:f>
        <x:v>298</x:v>
      </x:c>
      <x:c r="O7" s="99" t="n">
        <x:f>I7-J7-N7-L7-M7</x:f>
        <x:v>-78</x:v>
      </x:c>
      <x:c r="P7" s="100" t="n">
        <x:f>IFERROR(O7/I7,0)</x:f>
        <x:v>-0.026174496644295303</x:v>
      </x:c>
      <x:c r="Q7" s="99" t="n">
        <x:f>H7*I7</x:f>
        <x:v>0</x:v>
      </x:c>
      <x:c r="R7" s="99" t="n">
        <x:f>H7*O7</x:f>
        <x:v>0</x:v>
      </x:c>
      <x:c r="S7" s="99" t="n">
        <x:f>'見本レポート'!$B$3-G7</x:f>
        <x:v>101</x:v>
      </x:c>
      <x:c r="T7" s="99" t="str">
        <x:f>IF(S7&gt;=90,"90日以上",IF(S7&gt;=60,"60-89日","59日以下"))</x:f>
        <x:v>90日以上</x:v>
      </x:c>
      <x:c r="U7" s="99" t="str">
        <x:f>IF(O7&lt;0,"赤字",IF(AND(S7&gt;=90,H7&lt;=2),"要見直し",IF(P7&lt;0.15,"低利益","通常")))</x:f>
        <x:v>赤字</x:v>
      </x:c>
      <x:c r="V7" s="99" t="n">
        <x:f>IF(U7="赤字",100,0)+IF(S7&gt;=90,50,0)+IF(P7&lt;0.15,30,0)+IF(E7&gt;=15,10,0)</x:f>
        <x:v>190</x:v>
      </x:c>
      <x:c r="W7" s="101" t="str">
        <x:f>IF(U7="赤字","価格・原価・送料を再確認",IF(AND(S7&gt;=90,H7&lt;=2),"値下げ・再出品・仕入停止を検討",IF(P7&lt;0.15,"送料・手数料を見直す","継続観察")))</x:f>
        <x:v>価格・原価・送料を再確認</x:v>
      </x:c>
    </x:row>
    <x:row r="8">
      <x:c r="A8" s="95" t="str">
        <x:v>SYN-004</x:v>
      </x:c>
      <x:c r="B8" s="95" t="str">
        <x:v>折りたたみアウトドアチェア</x:v>
      </x:c>
      <x:c r="C8" s="95" t="str">
        <x:v>アウトドア</x:v>
      </x:c>
      <x:c r="D8" s="95" t="str">
        <x:v>モールA</x:v>
      </x:c>
      <x:c r="E8" s="95" t="n">
        <x:v>12</x:v>
      </x:c>
      <x:c r="F8" s="96" t="n">
        <x:v>46114</x:v>
      </x:c>
      <x:c r="G8" s="96" t="n">
        <x:v>46120</x:v>
      </x:c>
      <x:c r="H8" s="95" t="n">
        <x:v>0</x:v>
      </x:c>
      <x:c r="I8" s="97" t="n">
        <x:v>4980</x:v>
      </x:c>
      <x:c r="J8" s="97" t="n">
        <x:v>2650</x:v>
      </x:c>
      <x:c r="K8" s="98" t="n">
        <x:v>0.12</x:v>
      </x:c>
      <x:c r="L8" s="97" t="n">
        <x:v>1100</x:v>
      </x:c>
      <x:c r="M8" s="97" t="n">
        <x:v>100</x:v>
      </x:c>
      <x:c r="N8" s="99" t="n">
        <x:f>I8*K8</x:f>
        <x:v>597.6</x:v>
      </x:c>
      <x:c r="O8" s="99" t="n">
        <x:f>I8-J8-N8-L8-M8</x:f>
        <x:v>532.4000000000001</x:v>
      </x:c>
      <x:c r="P8" s="100" t="n">
        <x:f>IFERROR(O8/I8,0)</x:f>
        <x:v>0.10690763052208838</x:v>
      </x:c>
      <x:c r="Q8" s="99" t="n">
        <x:f>H8*I8</x:f>
        <x:v>0</x:v>
      </x:c>
      <x:c r="R8" s="99" t="n">
        <x:f>H8*O8</x:f>
        <x:v>0</x:v>
      </x:c>
      <x:c r="S8" s="99" t="n">
        <x:f>'見本レポート'!$B$3-G8</x:f>
        <x:v>95</x:v>
      </x:c>
      <x:c r="T8" s="99" t="str">
        <x:f>IF(S8&gt;=90,"90日以上",IF(S8&gt;=60,"60-89日","59日以下"))</x:f>
        <x:v>90日以上</x:v>
      </x:c>
      <x:c r="U8" s="99" t="str">
        <x:f>IF(O8&lt;0,"赤字",IF(AND(S8&gt;=90,H8&lt;=2),"要見直し",IF(P8&lt;0.15,"低利益","通常")))</x:f>
        <x:v>要見直し</x:v>
      </x:c>
      <x:c r="V8" s="99" t="n">
        <x:f>IF(U8="赤字",100,0)+IF(S8&gt;=90,50,0)+IF(P8&lt;0.15,30,0)+IF(E8&gt;=15,10,0)</x:f>
        <x:v>80</x:v>
      </x:c>
      <x:c r="W8" s="101" t="str">
        <x:f>IF(U8="赤字","価格・原価・送料を再確認",IF(AND(S8&gt;=90,H8&lt;=2),"値下げ・再出品・仕入停止を検討",IF(P8&lt;0.15,"送料・手数料を見直す","継続観察")))</x:f>
        <x:v>値下げ・再出品・仕入停止を検討</x:v>
      </x:c>
    </x:row>
    <x:row r="9">
      <x:c r="A9" s="95" t="str">
        <x:v>SYN-005</x:v>
      </x:c>
      <x:c r="B9" s="95" t="str">
        <x:v>ミニLEDランタン</x:v>
      </x:c>
      <x:c r="C9" s="95" t="str">
        <x:v>アウトドア</x:v>
      </x:c>
      <x:c r="D9" s="95" t="str">
        <x:v>自社EC</x:v>
      </x:c>
      <x:c r="E9" s="95" t="n">
        <x:v>22</x:v>
      </x:c>
      <x:c r="F9" s="96" t="n">
        <x:v>46138</x:v>
      </x:c>
      <x:c r="G9" s="96" t="n">
        <x:v>46170</x:v>
      </x:c>
      <x:c r="H9" s="95" t="n">
        <x:v>0</x:v>
      </x:c>
      <x:c r="I9" s="97" t="n">
        <x:v>3980</x:v>
      </x:c>
      <x:c r="J9" s="97" t="n">
        <x:v>1450</x:v>
      </x:c>
      <x:c r="K9" s="98" t="n">
        <x:v>0.035</x:v>
      </x:c>
      <x:c r="L9" s="97" t="n">
        <x:v>600</x:v>
      </x:c>
      <x:c r="M9" s="97" t="n">
        <x:v>120</x:v>
      </x:c>
      <x:c r="N9" s="99" t="n">
        <x:f>I9*K9</x:f>
        <x:v>139.3</x:v>
      </x:c>
      <x:c r="O9" s="99" t="n">
        <x:f>I9-J9-N9-L9-M9</x:f>
        <x:v>1670.6999999999998</x:v>
      </x:c>
      <x:c r="P9" s="100" t="n">
        <x:f>IFERROR(O9/I9,0)</x:f>
        <x:v>0.4197738693467336</x:v>
      </x:c>
      <x:c r="Q9" s="99" t="n">
        <x:f>H9*I9</x:f>
        <x:v>0</x:v>
      </x:c>
      <x:c r="R9" s="99" t="n">
        <x:f>H9*O9</x:f>
        <x:v>0</x:v>
      </x:c>
      <x:c r="S9" s="99" t="n">
        <x:f>'見本レポート'!$B$3-G9</x:f>
        <x:v>45</x:v>
      </x:c>
      <x:c r="T9" s="99" t="str">
        <x:f>IF(S9&gt;=90,"90日以上",IF(S9&gt;=60,"60-89日","59日以下"))</x:f>
        <x:v>59日以下</x:v>
      </x:c>
      <x:c r="U9" s="99" t="str">
        <x:f>IF(O9&lt;0,"赤字",IF(AND(S9&gt;=90,H9&lt;=2),"要見直し",IF(P9&lt;0.15,"低利益","通常")))</x:f>
        <x:v>通常</x:v>
      </x:c>
      <x:c r="V9" s="99" t="n">
        <x:f>IF(U9="赤字",100,0)+IF(S9&gt;=90,50,0)+IF(P9&lt;0.15,30,0)+IF(E9&gt;=15,10,0)</x:f>
        <x:v>10</x:v>
      </x:c>
      <x:c r="W9" s="101" t="str">
        <x:f>IF(U9="赤字","価格・原価・送料を再確認",IF(AND(S9&gt;=90,H9&lt;=2),"値下げ・再出品・仕入停止を検討",IF(P9&lt;0.15,"送料・手数料を見直す","継続観察")))</x:f>
        <x:v>継続観察</x:v>
      </x:c>
    </x:row>
    <x:row r="10">
      <x:c r="A10" s="95" t="str">
        <x:v>SYN-006</x:v>
      </x:c>
      <x:c r="B10" s="95" t="str">
        <x:v>コットンストール</x:v>
      </x:c>
      <x:c r="C10" s="95" t="str">
        <x:v>服飾小物</x:v>
      </x:c>
      <x:c r="D10" s="95" t="str">
        <x:v>モールB</x:v>
      </x:c>
      <x:c r="E10" s="95" t="n">
        <x:v>25</x:v>
      </x:c>
      <x:c r="F10" s="96" t="n">
        <x:v>46119</x:v>
      </x:c>
      <x:c r="G10" s="96" t="n">
        <x:v>46144</x:v>
      </x:c>
      <x:c r="H10" s="95" t="n">
        <x:v>0</x:v>
      </x:c>
      <x:c r="I10" s="97" t="n">
        <x:v>2580</x:v>
      </x:c>
      <x:c r="J10" s="97" t="n">
        <x:v>1380</x:v>
      </x:c>
      <x:c r="K10" s="98" t="n">
        <x:v>0.1</x:v>
      </x:c>
      <x:c r="L10" s="97" t="n">
        <x:v>450</x:v>
      </x:c>
      <x:c r="M10" s="97" t="n">
        <x:v>90</x:v>
      </x:c>
      <x:c r="N10" s="99" t="n">
        <x:f>I10*K10</x:f>
        <x:v>258</x:v>
      </x:c>
      <x:c r="O10" s="99" t="n">
        <x:f>I10-J10-N10-L10-M10</x:f>
        <x:v>402</x:v>
      </x:c>
      <x:c r="P10" s="100" t="n">
        <x:f>IFERROR(O10/I10,0)</x:f>
        <x:v>0.1558139534883721</x:v>
      </x:c>
      <x:c r="Q10" s="99" t="n">
        <x:f>H10*I10</x:f>
        <x:v>0</x:v>
      </x:c>
      <x:c r="R10" s="99" t="n">
        <x:f>H10*O10</x:f>
        <x:v>0</x:v>
      </x:c>
      <x:c r="S10" s="99" t="n">
        <x:f>'見本レポート'!$B$3-G10</x:f>
        <x:v>71</x:v>
      </x:c>
      <x:c r="T10" s="99" t="str">
        <x:f>IF(S10&gt;=90,"90日以上",IF(S10&gt;=60,"60-89日","59日以下"))</x:f>
        <x:v>60-89日</x:v>
      </x:c>
      <x:c r="U10" s="99" t="str">
        <x:f>IF(O10&lt;0,"赤字",IF(AND(S10&gt;=90,H10&lt;=2),"要見直し",IF(P10&lt;0.15,"低利益","通常")))</x:f>
        <x:v>通常</x:v>
      </x:c>
      <x:c r="V10" s="99" t="n">
        <x:f>IF(U10="赤字",100,0)+IF(S10&gt;=90,50,0)+IF(P10&lt;0.15,30,0)+IF(E10&gt;=15,10,0)</x:f>
        <x:v>10</x:v>
      </x:c>
      <x:c r="W10" s="101" t="str">
        <x:f>IF(U10="赤字","価格・原価・送料を再確認",IF(AND(S10&gt;=90,H10&lt;=2),"値下げ・再出品・仕入停止を検討",IF(P10&lt;0.15,"送料・手数料を見直す","継続観察")))</x:f>
        <x:v>継続観察</x:v>
      </x:c>
    </x:row>
    <x:row r="11">
      <x:c r="A11" s="95" t="str">
        <x:v>SYN-007</x:v>
      </x:c>
      <x:c r="B11" s="95" t="str">
        <x:v>アロマディフューザー</x:v>
      </x:c>
      <x:c r="C11" s="95" t="str">
        <x:v>生活雑貨</x:v>
      </x:c>
      <x:c r="D11" s="95" t="str">
        <x:v>モールA</x:v>
      </x:c>
      <x:c r="E11" s="95" t="n">
        <x:v>20</x:v>
      </x:c>
      <x:c r="F11" s="96" t="n">
        <x:v>46123</x:v>
      </x:c>
      <x:c r="G11" s="96" t="n">
        <x:v>46153</x:v>
      </x:c>
      <x:c r="H11" s="95" t="n">
        <x:v>0</x:v>
      </x:c>
      <x:c r="I11" s="97" t="n">
        <x:v>4580</x:v>
      </x:c>
      <x:c r="J11" s="97" t="n">
        <x:v>1900</x:v>
      </x:c>
      <x:c r="K11" s="98" t="n">
        <x:v>0.12</x:v>
      </x:c>
      <x:c r="L11" s="97" t="n">
        <x:v>850</x:v>
      </x:c>
      <x:c r="M11" s="97" t="n">
        <x:v>130</x:v>
      </x:c>
      <x:c r="N11" s="99" t="n">
        <x:f>I11*K11</x:f>
        <x:v>549.6</x:v>
      </x:c>
      <x:c r="O11" s="99" t="n">
        <x:f>I11-J11-N11-L11-M11</x:f>
        <x:v>1150.4</x:v>
      </x:c>
      <x:c r="P11" s="100" t="n">
        <x:f>IFERROR(O11/I11,0)</x:f>
        <x:v>0.2511790393013101</x:v>
      </x:c>
      <x:c r="Q11" s="99" t="n">
        <x:f>H11*I11</x:f>
        <x:v>0</x:v>
      </x:c>
      <x:c r="R11" s="99" t="n">
        <x:f>H11*O11</x:f>
        <x:v>0</x:v>
      </x:c>
      <x:c r="S11" s="99" t="n">
        <x:f>'見本レポート'!$B$3-G11</x:f>
        <x:v>62</x:v>
      </x:c>
      <x:c r="T11" s="99" t="str">
        <x:f>IF(S11&gt;=90,"90日以上",IF(S11&gt;=60,"60-89日","59日以下"))</x:f>
        <x:v>60-89日</x:v>
      </x:c>
      <x:c r="U11" s="99" t="str">
        <x:f>IF(O11&lt;0,"赤字",IF(AND(S11&gt;=90,H11&lt;=2),"要見直し",IF(P11&lt;0.15,"低利益","通常")))</x:f>
        <x:v>通常</x:v>
      </x:c>
      <x:c r="V11" s="99" t="n">
        <x:f>IF(U11="赤字",100,0)+IF(S11&gt;=90,50,0)+IF(P11&lt;0.15,30,0)+IF(E11&gt;=15,10,0)</x:f>
        <x:v>10</x:v>
      </x:c>
      <x:c r="W11" s="101" t="str">
        <x:f>IF(U11="赤字","価格・原価・送料を再確認",IF(AND(S11&gt;=90,H11&lt;=2),"値下げ・再出品・仕入停止を検討",IF(P11&lt;0.15,"送料・手数料を見直す","継続観察")))</x:f>
        <x:v>継続観察</x:v>
      </x:c>
    </x:row>
    <x:row r="12">
      <x:c r="A12" s="95" t="str">
        <x:v>SYN-008</x:v>
      </x:c>
      <x:c r="B12" s="95" t="str">
        <x:v>帆布ペンケース</x:v>
      </x:c>
      <x:c r="C12" s="95" t="str">
        <x:v>服飾小物</x:v>
      </x:c>
      <x:c r="D12" s="95" t="str">
        <x:v>自社EC</x:v>
      </x:c>
      <x:c r="E12" s="95" t="n">
        <x:v>5</x:v>
      </x:c>
      <x:c r="F12" s="96" t="n">
        <x:v>46197</x:v>
      </x:c>
      <x:c r="G12" s="96" t="n">
        <x:v>46213</x:v>
      </x:c>
      <x:c r="H12" s="95" t="n">
        <x:v>18</x:v>
      </x:c>
      <x:c r="I12" s="97" t="n">
        <x:v>2480</x:v>
      </x:c>
      <x:c r="J12" s="97" t="n">
        <x:v>620</x:v>
      </x:c>
      <x:c r="K12" s="98" t="n">
        <x:v>0.035</x:v>
      </x:c>
      <x:c r="L12" s="97" t="n">
        <x:v>300</x:v>
      </x:c>
      <x:c r="M12" s="97" t="n">
        <x:v>40</x:v>
      </x:c>
      <x:c r="N12" s="99" t="n">
        <x:f>I12*K12</x:f>
        <x:v>86.80000000000001</x:v>
      </x:c>
      <x:c r="O12" s="99" t="n">
        <x:f>I12-J12-N12-L12-M12</x:f>
        <x:v>1433.2</x:v>
      </x:c>
      <x:c r="P12" s="100" t="n">
        <x:f>IFERROR(O12/I12,0)</x:f>
        <x:v>0.5779032258064516</x:v>
      </x:c>
      <x:c r="Q12" s="99" t="n">
        <x:f>H12*I12</x:f>
        <x:v>44640</x:v>
      </x:c>
      <x:c r="R12" s="99" t="n">
        <x:f>H12*O12</x:f>
        <x:v>25797.600000000002</x:v>
      </x:c>
      <x:c r="S12" s="99" t="n">
        <x:f>'見本レポート'!$B$3-G12</x:f>
        <x:v>2</x:v>
      </x:c>
      <x:c r="T12" s="99" t="str">
        <x:f>IF(S12&gt;=90,"90日以上",IF(S12&gt;=60,"60-89日","59日以下"))</x:f>
        <x:v>59日以下</x:v>
      </x:c>
      <x:c r="U12" s="99" t="str">
        <x:f>IF(O12&lt;0,"赤字",IF(AND(S12&gt;=90,H12&lt;=2),"要見直し",IF(P12&lt;0.15,"低利益","通常")))</x:f>
        <x:v>通常</x:v>
      </x:c>
      <x:c r="V12" s="99" t="n">
        <x:f>IF(U12="赤字",100,0)+IF(S12&gt;=90,50,0)+IF(P12&lt;0.15,30,0)+IF(E12&gt;=15,10,0)</x:f>
        <x:v>0</x:v>
      </x:c>
      <x:c r="W12" s="101" t="str">
        <x:f>IF(U12="赤字","価格・原価・送料を再確認",IF(AND(S12&gt;=90,H12&lt;=2),"値下げ・再出品・仕入停止を検討",IF(P12&lt;0.15,"送料・手数料を見直す","継続観察")))</x:f>
        <x:v>継続観察</x:v>
      </x:c>
    </x:row>
    <x:row r="13">
      <x:c r="A13" s="95" t="str">
        <x:v>SYN-009</x:v>
      </x:c>
      <x:c r="B13" s="95" t="str">
        <x:v>ガラスフラワーベース</x:v>
      </x:c>
      <x:c r="C13" s="95" t="str">
        <x:v>ホビー</x:v>
      </x:c>
      <x:c r="D13" s="95" t="str">
        <x:v>自社EC</x:v>
      </x:c>
      <x:c r="E13" s="95" t="n">
        <x:v>18</x:v>
      </x:c>
      <x:c r="F13" s="96" t="n">
        <x:v>46198</x:v>
      </x:c>
      <x:c r="G13" s="96" t="n">
        <x:v>46185</x:v>
      </x:c>
      <x:c r="H13" s="95" t="n">
        <x:v>10</x:v>
      </x:c>
      <x:c r="I13" s="97" t="n">
        <x:v>6070</x:v>
      </x:c>
      <x:c r="J13" s="97" t="n">
        <x:v>2246</x:v>
      </x:c>
      <x:c r="K13" s="98" t="n">
        <x:v>0.035</x:v>
      </x:c>
      <x:c r="L13" s="97" t="n">
        <x:v>1050</x:v>
      </x:c>
      <x:c r="M13" s="97" t="n">
        <x:v>130</x:v>
      </x:c>
      <x:c r="N13" s="99" t="n">
        <x:f>I13*K13</x:f>
        <x:v>212.45000000000002</x:v>
      </x:c>
      <x:c r="O13" s="99" t="n">
        <x:f>I13-J13-N13-L13-M13</x:f>
        <x:v>2431.55</x:v>
      </x:c>
      <x:c r="P13" s="100" t="n">
        <x:f>IFERROR(O13/I13,0)</x:f>
        <x:v>0.4005848434925865</x:v>
      </x:c>
      <x:c r="Q13" s="99" t="n">
        <x:f>H13*I13</x:f>
        <x:v>60700</x:v>
      </x:c>
      <x:c r="R13" s="99" t="n">
        <x:f>H13*O13</x:f>
        <x:v>24315.5</x:v>
      </x:c>
      <x:c r="S13" s="99" t="n">
        <x:f>'見本レポート'!$B$3-G13</x:f>
        <x:v>30</x:v>
      </x:c>
      <x:c r="T13" s="99" t="str">
        <x:f>IF(S13&gt;=90,"90日以上",IF(S13&gt;=60,"60-89日","59日以下"))</x:f>
        <x:v>59日以下</x:v>
      </x:c>
      <x:c r="U13" s="99" t="str">
        <x:f>IF(O13&lt;0,"赤字",IF(AND(S13&gt;=90,H13&lt;=2),"要見直し",IF(P13&lt;0.15,"低利益","通常")))</x:f>
        <x:v>通常</x:v>
      </x:c>
      <x:c r="V13" s="99" t="n">
        <x:f>IF(U13="赤字",100,0)+IF(S13&gt;=90,50,0)+IF(P13&lt;0.15,30,0)+IF(E13&gt;=15,10,0)</x:f>
        <x:v>10</x:v>
      </x:c>
      <x:c r="W13" s="101" t="str">
        <x:f>IF(U13="赤字","価格・原価・送料を再確認",IF(AND(S13&gt;=90,H13&lt;=2),"値下げ・再出品・仕入停止を検討",IF(P13&lt;0.15,"送料・手数料を見直す","継続観察")))</x:f>
        <x:v>継続観察</x:v>
      </x:c>
    </x:row>
    <x:row r="14">
      <x:c r="A14" s="95" t="str">
        <x:v>SYN-010</x:v>
      </x:c>
      <x:c r="B14" s="95" t="str">
        <x:v>レザーキーホルダー</x:v>
      </x:c>
      <x:c r="C14" s="95" t="str">
        <x:v>インテリア</x:v>
      </x:c>
      <x:c r="D14" s="95" t="str">
        <x:v>モールA</x:v>
      </x:c>
      <x:c r="E14" s="95" t="n">
        <x:v>25</x:v>
      </x:c>
      <x:c r="F14" s="96" t="n">
        <x:v>46185</x:v>
      </x:c>
      <x:c r="G14" s="96" t="n">
        <x:v>46168</x:v>
      </x:c>
      <x:c r="H14" s="95" t="n">
        <x:v>0</x:v>
      </x:c>
      <x:c r="I14" s="97" t="n">
        <x:v>6500</x:v>
      </x:c>
      <x:c r="J14" s="97" t="n">
        <x:v>4420</x:v>
      </x:c>
      <x:c r="K14" s="98" t="n">
        <x:v>0.12</x:v>
      </x:c>
      <x:c r="L14" s="97" t="n">
        <x:v>300</x:v>
      </x:c>
      <x:c r="M14" s="97" t="n">
        <x:v>0</x:v>
      </x:c>
      <x:c r="N14" s="99" t="n">
        <x:f>I14*K14</x:f>
        <x:v>780</x:v>
      </x:c>
      <x:c r="O14" s="99" t="n">
        <x:f>I14-J14-N14-L14-M14</x:f>
        <x:v>1000</x:v>
      </x:c>
      <x:c r="P14" s="100" t="n">
        <x:f>IFERROR(O14/I14,0)</x:f>
        <x:v>0.15384615384615385</x:v>
      </x:c>
      <x:c r="Q14" s="99" t="n">
        <x:f>H14*I14</x:f>
        <x:v>0</x:v>
      </x:c>
      <x:c r="R14" s="99" t="n">
        <x:f>H14*O14</x:f>
        <x:v>0</x:v>
      </x:c>
      <x:c r="S14" s="99" t="n">
        <x:f>'見本レポート'!$B$3-G14</x:f>
        <x:v>47</x:v>
      </x:c>
      <x:c r="T14" s="99" t="str">
        <x:f>IF(S14&gt;=90,"90日以上",IF(S14&gt;=60,"60-89日","59日以下"))</x:f>
        <x:v>59日以下</x:v>
      </x:c>
      <x:c r="U14" s="99" t="str">
        <x:f>IF(O14&lt;0,"赤字",IF(AND(S14&gt;=90,H14&lt;=2),"要見直し",IF(P14&lt;0.15,"低利益","通常")))</x:f>
        <x:v>通常</x:v>
      </x:c>
      <x:c r="V14" s="99" t="n">
        <x:f>IF(U14="赤字",100,0)+IF(S14&gt;=90,50,0)+IF(P14&lt;0.15,30,0)+IF(E14&gt;=15,10,0)</x:f>
        <x:v>10</x:v>
      </x:c>
      <x:c r="W14" s="101" t="str">
        <x:f>IF(U14="赤字","価格・原価・送料を再確認",IF(AND(S14&gt;=90,H14&lt;=2),"値下げ・再出品・仕入停止を検討",IF(P14&lt;0.15,"送料・手数料を見直す","継続観察")))</x:f>
        <x:v>継続観察</x:v>
      </x:c>
    </x:row>
    <x:row r="15">
      <x:c r="A15" s="95" t="str">
        <x:v>SYN-011</x:v>
      </x:c>
      <x:c r="B15" s="95" t="str">
        <x:v>折りたたみ収納袋</x:v>
      </x:c>
      <x:c r="C15" s="95" t="str">
        <x:v>キッチン雑貨</x:v>
      </x:c>
      <x:c r="D15" s="95" t="str">
        <x:v>モールB</x:v>
      </x:c>
      <x:c r="E15" s="95" t="n">
        <x:v>8</x:v>
      </x:c>
      <x:c r="F15" s="96" t="n">
        <x:v>46172</x:v>
      </x:c>
      <x:c r="G15" s="96" t="n">
        <x:v>46151</x:v>
      </x:c>
      <x:c r="H15" s="95" t="n">
        <x:v>0</x:v>
      </x:c>
      <x:c r="I15" s="97" t="n">
        <x:v>6930</x:v>
      </x:c>
      <x:c r="J15" s="97" t="n">
        <x:v>4019</x:v>
      </x:c>
      <x:c r="K15" s="98" t="n">
        <x:v>0.1</x:v>
      </x:c>
      <x:c r="L15" s="97" t="n">
        <x:v>450</x:v>
      </x:c>
      <x:c r="M15" s="97" t="n">
        <x:v>40</x:v>
      </x:c>
      <x:c r="N15" s="99" t="n">
        <x:f>I15*K15</x:f>
        <x:v>693</x:v>
      </x:c>
      <x:c r="O15" s="99" t="n">
        <x:f>I15-J15-N15-L15-M15</x:f>
        <x:v>1728</x:v>
      </x:c>
      <x:c r="P15" s="100" t="n">
        <x:f>IFERROR(O15/I15,0)</x:f>
        <x:v>0.24935064935064935</x:v>
      </x:c>
      <x:c r="Q15" s="99" t="n">
        <x:f>H15*I15</x:f>
        <x:v>0</x:v>
      </x:c>
      <x:c r="R15" s="99" t="n">
        <x:f>H15*O15</x:f>
        <x:v>0</x:v>
      </x:c>
      <x:c r="S15" s="99" t="n">
        <x:f>'見本レポート'!$B$3-G15</x:f>
        <x:v>64</x:v>
      </x:c>
      <x:c r="T15" s="99" t="str">
        <x:f>IF(S15&gt;=90,"90日以上",IF(S15&gt;=60,"60-89日","59日以下"))</x:f>
        <x:v>60-89日</x:v>
      </x:c>
      <x:c r="U15" s="99" t="str">
        <x:f>IF(O15&lt;0,"赤字",IF(AND(S15&gt;=90,H15&lt;=2),"要見直し",IF(P15&lt;0.15,"低利益","通常")))</x:f>
        <x:v>通常</x:v>
      </x:c>
      <x:c r="V15" s="99" t="n">
        <x:f>IF(U15="赤字",100,0)+IF(S15&gt;=90,50,0)+IF(P15&lt;0.15,30,0)+IF(E15&gt;=15,10,0)</x:f>
        <x:v>0</x:v>
      </x:c>
      <x:c r="W15" s="101" t="str">
        <x:f>IF(U15="赤字","価格・原価・送料を再確認",IF(AND(S15&gt;=90,H15&lt;=2),"値下げ・再出品・仕入停止を検討",IF(P15&lt;0.15,"送料・手数料を見直す","継続観察")))</x:f>
        <x:v>継続観察</x:v>
      </x:c>
    </x:row>
    <x:row r="16">
      <x:c r="A16" s="95" t="str">
        <x:v>SYN-012</x:v>
      </x:c>
      <x:c r="B16" s="95" t="str">
        <x:v>真鍮ブックマーク</x:v>
      </x:c>
      <x:c r="C16" s="95" t="str">
        <x:v>生活雑貨</x:v>
      </x:c>
      <x:c r="D16" s="95" t="str">
        <x:v>自社EC</x:v>
      </x:c>
      <x:c r="E16" s="95" t="n">
        <x:v>15</x:v>
      </x:c>
      <x:c r="F16" s="96" t="n">
        <x:v>46159</x:v>
      </x:c>
      <x:c r="G16" s="96" t="n">
        <x:v>46134</x:v>
      </x:c>
      <x:c r="H16" s="95" t="n">
        <x:v>0</x:v>
      </x:c>
      <x:c r="I16" s="97" t="n">
        <x:v>7360</x:v>
      </x:c>
      <x:c r="J16" s="97" t="n">
        <x:v>3680</x:v>
      </x:c>
      <x:c r="K16" s="98" t="n">
        <x:v>0.035</x:v>
      </x:c>
      <x:c r="L16" s="97" t="n">
        <x:v>600</x:v>
      </x:c>
      <x:c r="M16" s="97" t="n">
        <x:v>70</x:v>
      </x:c>
      <x:c r="N16" s="99" t="n">
        <x:f>I16*K16</x:f>
        <x:v>257.6</x:v>
      </x:c>
      <x:c r="O16" s="99" t="n">
        <x:f>I16-J16-N16-L16-M16</x:f>
        <x:v>2752.4</x:v>
      </x:c>
      <x:c r="P16" s="100" t="n">
        <x:f>IFERROR(O16/I16,0)</x:f>
        <x:v>0.37396739130434786</x:v>
      </x:c>
      <x:c r="Q16" s="99" t="n">
        <x:f>H16*I16</x:f>
        <x:v>0</x:v>
      </x:c>
      <x:c r="R16" s="99" t="n">
        <x:f>H16*O16</x:f>
        <x:v>0</x:v>
      </x:c>
      <x:c r="S16" s="99" t="n">
        <x:f>'見本レポート'!$B$3-G16</x:f>
        <x:v>81</x:v>
      </x:c>
      <x:c r="T16" s="99" t="str">
        <x:f>IF(S16&gt;=90,"90日以上",IF(S16&gt;=60,"60-89日","59日以下"))</x:f>
        <x:v>60-89日</x:v>
      </x:c>
      <x:c r="U16" s="99" t="str">
        <x:f>IF(O16&lt;0,"赤字",IF(AND(S16&gt;=90,H16&lt;=2),"要見直し",IF(P16&lt;0.15,"低利益","通常")))</x:f>
        <x:v>通常</x:v>
      </x:c>
      <x:c r="V16" s="99" t="n">
        <x:f>IF(U16="赤字",100,0)+IF(S16&gt;=90,50,0)+IF(P16&lt;0.15,30,0)+IF(E16&gt;=15,10,0)</x:f>
        <x:v>10</x:v>
      </x:c>
      <x:c r="W16" s="101" t="str">
        <x:f>IF(U16="赤字","価格・原価・送料を再確認",IF(AND(S16&gt;=90,H16&lt;=2),"値下げ・再出品・仕入停止を検討",IF(P16&lt;0.15,"送料・手数料を見直す","継続観察")))</x:f>
        <x:v>継続観察</x:v>
      </x:c>
    </x:row>
    <x:row r="17">
      <x:c r="A17" s="95" t="str">
        <x:v>SYN-013</x:v>
      </x:c>
      <x:c r="B17" s="95" t="str">
        <x:v>ウールキャップ</x:v>
      </x:c>
      <x:c r="C17" s="95" t="str">
        <x:v>服飾小物</x:v>
      </x:c>
      <x:c r="D17" s="95" t="str">
        <x:v>モールA</x:v>
      </x:c>
      <x:c r="E17" s="95" t="n">
        <x:v>22</x:v>
      </x:c>
      <x:c r="F17" s="96" t="n">
        <x:v>46146</x:v>
      </x:c>
      <x:c r="G17" s="96" t="n">
        <x:v>46117</x:v>
      </x:c>
      <x:c r="H17" s="95" t="n">
        <x:v>0</x:v>
      </x:c>
      <x:c r="I17" s="97" t="n">
        <x:v>2590</x:v>
      </x:c>
      <x:c r="J17" s="97" t="n">
        <x:v>1088</x:v>
      </x:c>
      <x:c r="K17" s="98" t="n">
        <x:v>0.12</x:v>
      </x:c>
      <x:c r="L17" s="97" t="n">
        <x:v>850</x:v>
      </x:c>
      <x:c r="M17" s="97" t="n">
        <x:v>100</x:v>
      </x:c>
      <x:c r="N17" s="99" t="n">
        <x:f>I17*K17</x:f>
        <x:v>310.8</x:v>
      </x:c>
      <x:c r="O17" s="99" t="n">
        <x:f>I17-J17-N17-L17-M17</x:f>
        <x:v>241.20000000000005</x:v>
      </x:c>
      <x:c r="P17" s="100" t="n">
        <x:f>IFERROR(O17/I17,0)</x:f>
        <x:v>0.09312741312741314</x:v>
      </x:c>
      <x:c r="Q17" s="99" t="n">
        <x:f>H17*I17</x:f>
        <x:v>0</x:v>
      </x:c>
      <x:c r="R17" s="99" t="n">
        <x:f>H17*O17</x:f>
        <x:v>0</x:v>
      </x:c>
      <x:c r="S17" s="99" t="n">
        <x:f>'見本レポート'!$B$3-G17</x:f>
        <x:v>98</x:v>
      </x:c>
      <x:c r="T17" s="99" t="str">
        <x:f>IF(S17&gt;=90,"90日以上",IF(S17&gt;=60,"60-89日","59日以下"))</x:f>
        <x:v>90日以上</x:v>
      </x:c>
      <x:c r="U17" s="99" t="str">
        <x:f>IF(O17&lt;0,"赤字",IF(AND(S17&gt;=90,H17&lt;=2),"要見直し",IF(P17&lt;0.15,"低利益","通常")))</x:f>
        <x:v>要見直し</x:v>
      </x:c>
      <x:c r="V17" s="99" t="n">
        <x:f>IF(U17="赤字",100,0)+IF(S17&gt;=90,50,0)+IF(P17&lt;0.15,30,0)+IF(E17&gt;=15,10,0)</x:f>
        <x:v>90</x:v>
      </x:c>
      <x:c r="W17" s="101" t="str">
        <x:f>IF(U17="赤字","価格・原価・送料を再確認",IF(AND(S17&gt;=90,H17&lt;=2),"値下げ・再出品・仕入停止を検討",IF(P17&lt;0.15,"送料・手数料を見直す","継続観察")))</x:f>
        <x:v>値下げ・再出品・仕入停止を検討</x:v>
      </x:c>
    </x:row>
    <x:row r="18">
      <x:c r="A18" s="95" t="str">
        <x:v>SYN-014</x:v>
      </x:c>
      <x:c r="B18" s="95" t="str">
        <x:v>木製カトラリーセット</x:v>
      </x:c>
      <x:c r="C18" s="95" t="str">
        <x:v>アウトドア</x:v>
      </x:c>
      <x:c r="D18" s="95" t="str">
        <x:v>モールB</x:v>
      </x:c>
      <x:c r="E18" s="95" t="n">
        <x:v>5</x:v>
      </x:c>
      <x:c r="F18" s="96" t="n">
        <x:v>46133</x:v>
      </x:c>
      <x:c r="G18" s="96" t="n">
        <x:v>46100</x:v>
      </x:c>
      <x:c r="H18" s="95" t="n">
        <x:v>0</x:v>
      </x:c>
      <x:c r="I18" s="97" t="n">
        <x:v>3020</x:v>
      </x:c>
      <x:c r="J18" s="97" t="n">
        <x:v>1117</x:v>
      </x:c>
      <x:c r="K18" s="98" t="n">
        <x:v>0.1</x:v>
      </x:c>
      <x:c r="L18" s="97" t="n">
        <x:v>1050</x:v>
      </x:c>
      <x:c r="M18" s="97" t="n">
        <x:v>130</x:v>
      </x:c>
      <x:c r="N18" s="99" t="n">
        <x:f>I18*K18</x:f>
        <x:v>302</x:v>
      </x:c>
      <x:c r="O18" s="99" t="n">
        <x:f>I18-J18-N18-L18-M18</x:f>
        <x:v>421</x:v>
      </x:c>
      <x:c r="P18" s="100" t="n">
        <x:f>IFERROR(O18/I18,0)</x:f>
        <x:v>0.13940397350993378</x:v>
      </x:c>
      <x:c r="Q18" s="99" t="n">
        <x:f>H18*I18</x:f>
        <x:v>0</x:v>
      </x:c>
      <x:c r="R18" s="99" t="n">
        <x:f>H18*O18</x:f>
        <x:v>0</x:v>
      </x:c>
      <x:c r="S18" s="99" t="n">
        <x:f>'見本レポート'!$B$3-G18</x:f>
        <x:v>115</x:v>
      </x:c>
      <x:c r="T18" s="99" t="str">
        <x:f>IF(S18&gt;=90,"90日以上",IF(S18&gt;=60,"60-89日","59日以下"))</x:f>
        <x:v>90日以上</x:v>
      </x:c>
      <x:c r="U18" s="99" t="str">
        <x:f>IF(O18&lt;0,"赤字",IF(AND(S18&gt;=90,H18&lt;=2),"要見直し",IF(P18&lt;0.15,"低利益","通常")))</x:f>
        <x:v>要見直し</x:v>
      </x:c>
      <x:c r="V18" s="99" t="n">
        <x:f>IF(U18="赤字",100,0)+IF(S18&gt;=90,50,0)+IF(P18&lt;0.15,30,0)+IF(E18&gt;=15,10,0)</x:f>
        <x:v>80</x:v>
      </x:c>
      <x:c r="W18" s="101" t="str">
        <x:f>IF(U18="赤字","価格・原価・送料を再確認",IF(AND(S18&gt;=90,H18&lt;=2),"値下げ・再出品・仕入停止を検討",IF(P18&lt;0.15,"送料・手数料を見直す","継続観察")))</x:f>
        <x:v>値下げ・再出品・仕入停止を検討</x:v>
      </x:c>
    </x:row>
    <x:row r="19">
      <x:c r="A19" s="95" t="str">
        <x:v>SYN-015</x:v>
      </x:c>
      <x:c r="B19" s="95" t="str">
        <x:v>キャンドルホルダー</x:v>
      </x:c>
      <x:c r="C19" s="95" t="str">
        <x:v>ホビー</x:v>
      </x:c>
      <x:c r="D19" s="95" t="str">
        <x:v>自社EC</x:v>
      </x:c>
      <x:c r="E19" s="95" t="n">
        <x:v>12</x:v>
      </x:c>
      <x:c r="F19" s="96" t="n">
        <x:v>46120</x:v>
      </x:c>
      <x:c r="G19" s="96" t="n">
        <x:v>46207</x:v>
      </x:c>
      <x:c r="H19" s="95" t="n">
        <x:v>17</x:v>
      </x:c>
      <x:c r="I19" s="97" t="n">
        <x:v>3450</x:v>
      </x:c>
      <x:c r="J19" s="97" t="n">
        <x:v>2346</x:v>
      </x:c>
      <x:c r="K19" s="98" t="n">
        <x:v>0.035</x:v>
      </x:c>
      <x:c r="L19" s="97" t="n">
        <x:v>300</x:v>
      </x:c>
      <x:c r="M19" s="97" t="n">
        <x:v>0</x:v>
      </x:c>
      <x:c r="N19" s="99" t="n">
        <x:f>I19*K19</x:f>
        <x:v>120.75000000000001</x:v>
      </x:c>
      <x:c r="O19" s="99" t="n">
        <x:f>I19-J19-N19-L19-M19</x:f>
        <x:v>683.25</x:v>
      </x:c>
      <x:c r="P19" s="100" t="n">
        <x:f>IFERROR(O19/I19,0)</x:f>
        <x:v>0.19804347826086957</x:v>
      </x:c>
      <x:c r="Q19" s="99" t="n">
        <x:f>H19*I19</x:f>
        <x:v>58650</x:v>
      </x:c>
      <x:c r="R19" s="99" t="n">
        <x:f>H19*O19</x:f>
        <x:v>11615.25</x:v>
      </x:c>
      <x:c r="S19" s="99" t="n">
        <x:f>'見本レポート'!$B$3-G19</x:f>
        <x:v>8</x:v>
      </x:c>
      <x:c r="T19" s="99" t="str">
        <x:f>IF(S19&gt;=90,"90日以上",IF(S19&gt;=60,"60-89日","59日以下"))</x:f>
        <x:v>59日以下</x:v>
      </x:c>
      <x:c r="U19" s="99" t="str">
        <x:f>IF(O19&lt;0,"赤字",IF(AND(S19&gt;=90,H19&lt;=2),"要見直し",IF(P19&lt;0.15,"低利益","通常")))</x:f>
        <x:v>通常</x:v>
      </x:c>
      <x:c r="V19" s="99" t="n">
        <x:f>IF(U19="赤字",100,0)+IF(S19&gt;=90,50,0)+IF(P19&lt;0.15,30,0)+IF(E19&gt;=15,10,0)</x:f>
        <x:v>0</x:v>
      </x:c>
      <x:c r="W19" s="101" t="str">
        <x:f>IF(U19="赤字","価格・原価・送料を再確認",IF(AND(S19&gt;=90,H19&lt;=2),"値下げ・再出品・仕入停止を検討",IF(P19&lt;0.15,"送料・手数料を見直す","継続観察")))</x:f>
        <x:v>継続観察</x:v>
      </x:c>
    </x:row>
    <x:row r="20">
      <x:c r="A20" s="95" t="str">
        <x:v>SYN-016</x:v>
      </x:c>
      <x:c r="B20" s="95" t="str">
        <x:v>トラベルポーチ</x:v>
      </x:c>
      <x:c r="C20" s="95" t="str">
        <x:v>インテリア</x:v>
      </x:c>
      <x:c r="D20" s="95" t="str">
        <x:v>モールA</x:v>
      </x:c>
      <x:c r="E20" s="95" t="n">
        <x:v>19</x:v>
      </x:c>
      <x:c r="F20" s="96" t="n">
        <x:v>46107</x:v>
      </x:c>
      <x:c r="G20" s="96" t="n">
        <x:v>46190</x:v>
      </x:c>
      <x:c r="H20" s="95" t="n">
        <x:v>10</x:v>
      </x:c>
      <x:c r="I20" s="97" t="n">
        <x:v>3880</x:v>
      </x:c>
      <x:c r="J20" s="97" t="n">
        <x:v>2250</x:v>
      </x:c>
      <x:c r="K20" s="98" t="n">
        <x:v>0.12</x:v>
      </x:c>
      <x:c r="L20" s="97" t="n">
        <x:v>450</x:v>
      </x:c>
      <x:c r="M20" s="97" t="n">
        <x:v>40</x:v>
      </x:c>
      <x:c r="N20" s="99" t="n">
        <x:f>I20*K20</x:f>
        <x:v>465.59999999999997</x:v>
      </x:c>
      <x:c r="O20" s="99" t="n">
        <x:f>I20-J20-N20-L20-M20</x:f>
        <x:v>674.4000000000001</x:v>
      </x:c>
      <x:c r="P20" s="100" t="n">
        <x:f>IFERROR(O20/I20,0)</x:f>
        <x:v>0.17381443298969074</x:v>
      </x:c>
      <x:c r="Q20" s="99" t="n">
        <x:f>H20*I20</x:f>
        <x:v>38800</x:v>
      </x:c>
      <x:c r="R20" s="99" t="n">
        <x:f>H20*O20</x:f>
        <x:v>6744.000000000001</x:v>
      </x:c>
      <x:c r="S20" s="99" t="n">
        <x:f>'見本レポート'!$B$3-G20</x:f>
        <x:v>25</x:v>
      </x:c>
      <x:c r="T20" s="99" t="str">
        <x:f>IF(S20&gt;=90,"90日以上",IF(S20&gt;=60,"60-89日","59日以下"))</x:f>
        <x:v>59日以下</x:v>
      </x:c>
      <x:c r="U20" s="99" t="str">
        <x:f>IF(O20&lt;0,"赤字",IF(AND(S20&gt;=90,H20&lt;=2),"要見直し",IF(P20&lt;0.15,"低利益","通常")))</x:f>
        <x:v>通常</x:v>
      </x:c>
      <x:c r="V20" s="99" t="n">
        <x:f>IF(U20="赤字",100,0)+IF(S20&gt;=90,50,0)+IF(P20&lt;0.15,30,0)+IF(E20&gt;=15,10,0)</x:f>
        <x:v>10</x:v>
      </x:c>
      <x:c r="W20" s="101" t="str">
        <x:f>IF(U20="赤字","価格・原価・送料を再確認",IF(AND(S20&gt;=90,H20&lt;=2),"値下げ・再出品・仕入停止を検討",IF(P20&lt;0.15,"送料・手数料を見直す","継続観察")))</x:f>
        <x:v>継続観察</x:v>
      </x:c>
    </x:row>
    <x:row r="21">
      <x:c r="A21" s="95" t="str">
        <x:v>SYN-017</x:v>
      </x:c>
      <x:c r="B21" s="95" t="str">
        <x:v>ステンレスボトル</x:v>
      </x:c>
      <x:c r="C21" s="95" t="str">
        <x:v>キッチン雑貨</x:v>
      </x:c>
      <x:c r="D21" s="95" t="str">
        <x:v>モールB</x:v>
      </x:c>
      <x:c r="E21" s="95" t="n">
        <x:v>26</x:v>
      </x:c>
      <x:c r="F21" s="96" t="n">
        <x:v>46094</x:v>
      </x:c>
      <x:c r="G21" s="96" t="n">
        <x:v>46173</x:v>
      </x:c>
      <x:c r="H21" s="95" t="n">
        <x:v>0</x:v>
      </x:c>
      <x:c r="I21" s="97" t="n">
        <x:v>4310</x:v>
      </x:c>
      <x:c r="J21" s="97" t="n">
        <x:v>2155</x:v>
      </x:c>
      <x:c r="K21" s="98" t="n">
        <x:v>0.1</x:v>
      </x:c>
      <x:c r="L21" s="97" t="n">
        <x:v>600</x:v>
      </x:c>
      <x:c r="M21" s="97" t="n">
        <x:v>70</x:v>
      </x:c>
      <x:c r="N21" s="99" t="n">
        <x:f>I21*K21</x:f>
        <x:v>431</x:v>
      </x:c>
      <x:c r="O21" s="99" t="n">
        <x:f>I21-J21-N21-L21-M21</x:f>
        <x:v>1054</x:v>
      </x:c>
      <x:c r="P21" s="100" t="n">
        <x:f>IFERROR(O21/I21,0)</x:f>
        <x:v>0.2445475638051044</x:v>
      </x:c>
      <x:c r="Q21" s="99" t="n">
        <x:f>H21*I21</x:f>
        <x:v>0</x:v>
      </x:c>
      <x:c r="R21" s="99" t="n">
        <x:f>H21*O21</x:f>
        <x:v>0</x:v>
      </x:c>
      <x:c r="S21" s="99" t="n">
        <x:f>'見本レポート'!$B$3-G21</x:f>
        <x:v>42</x:v>
      </x:c>
      <x:c r="T21" s="99" t="str">
        <x:f>IF(S21&gt;=90,"90日以上",IF(S21&gt;=60,"60-89日","59日以下"))</x:f>
        <x:v>59日以下</x:v>
      </x:c>
      <x:c r="U21" s="99" t="str">
        <x:f>IF(O21&lt;0,"赤字",IF(AND(S21&gt;=90,H21&lt;=2),"要見直し",IF(P21&lt;0.15,"低利益","通常")))</x:f>
        <x:v>通常</x:v>
      </x:c>
      <x:c r="V21" s="99" t="n">
        <x:f>IF(U21="赤字",100,0)+IF(S21&gt;=90,50,0)+IF(P21&lt;0.15,30,0)+IF(E21&gt;=15,10,0)</x:f>
        <x:v>10</x:v>
      </x:c>
      <x:c r="W21" s="101" t="str">
        <x:f>IF(U21="赤字","価格・原価・送料を再確認",IF(AND(S21&gt;=90,H21&lt;=2),"値下げ・再出品・仕入停止を検討",IF(P21&lt;0.15,"送料・手数料を見直す","継続観察")))</x:f>
        <x:v>継続観察</x:v>
      </x:c>
    </x:row>
    <x:row r="22">
      <x:c r="A22" s="95" t="str">
        <x:v>SYN-018</x:v>
      </x:c>
      <x:c r="B22" s="95" t="str">
        <x:v>布製ウォールポケット</x:v>
      </x:c>
      <x:c r="C22" s="95" t="str">
        <x:v>生活雑貨</x:v>
      </x:c>
      <x:c r="D22" s="95" t="str">
        <x:v>自社EC</x:v>
      </x:c>
      <x:c r="E22" s="95" t="n">
        <x:v>9</x:v>
      </x:c>
      <x:c r="F22" s="96" t="n">
        <x:v>46193</x:v>
      </x:c>
      <x:c r="G22" s="96" t="n">
        <x:v>46156</x:v>
      </x:c>
      <x:c r="H22" s="95" t="n">
        <x:v>0</x:v>
      </x:c>
      <x:c r="I22" s="97" t="n">
        <x:v>4740</x:v>
      </x:c>
      <x:c r="J22" s="97" t="n">
        <x:v>1991</x:v>
      </x:c>
      <x:c r="K22" s="98" t="n">
        <x:v>0.035</x:v>
      </x:c>
      <x:c r="L22" s="97" t="n">
        <x:v>850</x:v>
      </x:c>
      <x:c r="M22" s="97" t="n">
        <x:v>100</x:v>
      </x:c>
      <x:c r="N22" s="99" t="n">
        <x:f>I22*K22</x:f>
        <x:v>165.9</x:v>
      </x:c>
      <x:c r="O22" s="99" t="n">
        <x:f>I22-J22-N22-L22-M22</x:f>
        <x:v>1633.1</x:v>
      </x:c>
      <x:c r="P22" s="100" t="n">
        <x:f>IFERROR(O22/I22,0)</x:f>
        <x:v>0.34453586497890293</x:v>
      </x:c>
      <x:c r="Q22" s="99" t="n">
        <x:f>H22*I22</x:f>
        <x:v>0</x:v>
      </x:c>
      <x:c r="R22" s="99" t="n">
        <x:f>H22*O22</x:f>
        <x:v>0</x:v>
      </x:c>
      <x:c r="S22" s="99" t="n">
        <x:f>'見本レポート'!$B$3-G22</x:f>
        <x:v>59</x:v>
      </x:c>
      <x:c r="T22" s="99" t="str">
        <x:f>IF(S22&gt;=90,"90日以上",IF(S22&gt;=60,"60-89日","59日以下"))</x:f>
        <x:v>59日以下</x:v>
      </x:c>
      <x:c r="U22" s="99" t="str">
        <x:f>IF(O22&lt;0,"赤字",IF(AND(S22&gt;=90,H22&lt;=2),"要見直し",IF(P22&lt;0.15,"低利益","通常")))</x:f>
        <x:v>通常</x:v>
      </x:c>
      <x:c r="V22" s="99" t="n">
        <x:f>IF(U22="赤字",100,0)+IF(S22&gt;=90,50,0)+IF(P22&lt;0.15,30,0)+IF(E22&gt;=15,10,0)</x:f>
        <x:v>0</x:v>
      </x:c>
      <x:c r="W22" s="101" t="str">
        <x:f>IF(U22="赤字","価格・原価・送料を再確認",IF(AND(S22&gt;=90,H22&lt;=2),"値下げ・再出品・仕入停止を検討",IF(P22&lt;0.15,"送料・手数料を見直す","継続観察")))</x:f>
        <x:v>継続観察</x:v>
      </x:c>
    </x:row>
    <x:row r="23">
      <x:c r="A23" s="95" t="str">
        <x:v>SYN-019</x:v>
      </x:c>
      <x:c r="B23" s="95" t="str">
        <x:v>陶器マグカップ</x:v>
      </x:c>
      <x:c r="C23" s="95" t="str">
        <x:v>服飾小物</x:v>
      </x:c>
      <x:c r="D23" s="95" t="str">
        <x:v>モールA</x:v>
      </x:c>
      <x:c r="E23" s="95" t="n">
        <x:v>16</x:v>
      </x:c>
      <x:c r="F23" s="96" t="n">
        <x:v>46180</x:v>
      </x:c>
      <x:c r="G23" s="96" t="n">
        <x:v>46139</x:v>
      </x:c>
      <x:c r="H23" s="95" t="n">
        <x:v>0</x:v>
      </x:c>
      <x:c r="I23" s="97" t="n">
        <x:v>5170</x:v>
      </x:c>
      <x:c r="J23" s="97" t="n">
        <x:v>1913</x:v>
      </x:c>
      <x:c r="K23" s="98" t="n">
        <x:v>0.12</x:v>
      </x:c>
      <x:c r="L23" s="97" t="n">
        <x:v>1050</x:v>
      </x:c>
      <x:c r="M23" s="97" t="n">
        <x:v>130</x:v>
      </x:c>
      <x:c r="N23" s="99" t="n">
        <x:f>I23*K23</x:f>
        <x:v>620.4</x:v>
      </x:c>
      <x:c r="O23" s="99" t="n">
        <x:f>I23-J23-N23-L23-M23</x:f>
        <x:v>1456.6</x:v>
      </x:c>
      <x:c r="P23" s="100" t="n">
        <x:f>IFERROR(O23/I23,0)</x:f>
        <x:v>0.28174081237911025</x:v>
      </x:c>
      <x:c r="Q23" s="99" t="n">
        <x:f>H23*I23</x:f>
        <x:v>0</x:v>
      </x:c>
      <x:c r="R23" s="99" t="n">
        <x:f>H23*O23</x:f>
        <x:v>0</x:v>
      </x:c>
      <x:c r="S23" s="99" t="n">
        <x:f>'見本レポート'!$B$3-G23</x:f>
        <x:v>76</x:v>
      </x:c>
      <x:c r="T23" s="99" t="str">
        <x:f>IF(S23&gt;=90,"90日以上",IF(S23&gt;=60,"60-89日","59日以下"))</x:f>
        <x:v>60-89日</x:v>
      </x:c>
      <x:c r="U23" s="99" t="str">
        <x:f>IF(O23&lt;0,"赤字",IF(AND(S23&gt;=90,H23&lt;=2),"要見直し",IF(P23&lt;0.15,"低利益","通常")))</x:f>
        <x:v>通常</x:v>
      </x:c>
      <x:c r="V23" s="99" t="n">
        <x:f>IF(U23="赤字",100,0)+IF(S23&gt;=90,50,0)+IF(P23&lt;0.15,30,0)+IF(E23&gt;=15,10,0)</x:f>
        <x:v>10</x:v>
      </x:c>
      <x:c r="W23" s="101" t="str">
        <x:f>IF(U23="赤字","価格・原価・送料を再確認",IF(AND(S23&gt;=90,H23&lt;=2),"値下げ・再出品・仕入停止を検討",IF(P23&lt;0.15,"送料・手数料を見直す","継続観察")))</x:f>
        <x:v>継続観察</x:v>
      </x:c>
    </x:row>
    <x:row r="24">
      <x:c r="A24" s="95" t="str">
        <x:v>SYN-020</x:v>
      </x:c>
      <x:c r="B24" s="95" t="str">
        <x:v>コースターセット</x:v>
      </x:c>
      <x:c r="C24" s="95" t="str">
        <x:v>アウトドア</x:v>
      </x:c>
      <x:c r="D24" s="95" t="str">
        <x:v>モールB</x:v>
      </x:c>
      <x:c r="E24" s="95" t="n">
        <x:v>23</x:v>
      </x:c>
      <x:c r="F24" s="96" t="n">
        <x:v>46167</x:v>
      </x:c>
      <x:c r="G24" s="96" t="n">
        <x:v>46122</x:v>
      </x:c>
      <x:c r="H24" s="95" t="n">
        <x:v>0</x:v>
      </x:c>
      <x:c r="I24" s="97" t="n">
        <x:v>5600</x:v>
      </x:c>
      <x:c r="J24" s="97" t="n">
        <x:v>3808</x:v>
      </x:c>
      <x:c r="K24" s="98" t="n">
        <x:v>0.1</x:v>
      </x:c>
      <x:c r="L24" s="97" t="n">
        <x:v>300</x:v>
      </x:c>
      <x:c r="M24" s="97" t="n">
        <x:v>0</x:v>
      </x:c>
      <x:c r="N24" s="99" t="n">
        <x:f>I24*K24</x:f>
        <x:v>560</x:v>
      </x:c>
      <x:c r="O24" s="99" t="n">
        <x:f>I24-J24-N24-L24-M24</x:f>
        <x:v>932</x:v>
      </x:c>
      <x:c r="P24" s="100" t="n">
        <x:f>IFERROR(O24/I24,0)</x:f>
        <x:v>0.16642857142857143</x:v>
      </x:c>
      <x:c r="Q24" s="99" t="n">
        <x:f>H24*I24</x:f>
        <x:v>0</x:v>
      </x:c>
      <x:c r="R24" s="99" t="n">
        <x:f>H24*O24</x:f>
        <x:v>0</x:v>
      </x:c>
      <x:c r="S24" s="99" t="n">
        <x:f>'見本レポート'!$B$3-G24</x:f>
        <x:v>93</x:v>
      </x:c>
      <x:c r="T24" s="99" t="str">
        <x:f>IF(S24&gt;=90,"90日以上",IF(S24&gt;=60,"60-89日","59日以下"))</x:f>
        <x:v>90日以上</x:v>
      </x:c>
      <x:c r="U24" s="99" t="str">
        <x:f>IF(O24&lt;0,"赤字",IF(AND(S24&gt;=90,H24&lt;=2),"要見直し",IF(P24&lt;0.15,"低利益","通常")))</x:f>
        <x:v>要見直し</x:v>
      </x:c>
      <x:c r="V24" s="99" t="n">
        <x:f>IF(U24="赤字",100,0)+IF(S24&gt;=90,50,0)+IF(P24&lt;0.15,30,0)+IF(E24&gt;=15,10,0)</x:f>
        <x:v>60</x:v>
      </x:c>
      <x:c r="W24" s="101" t="str">
        <x:f>IF(U24="赤字","価格・原価・送料を再確認",IF(AND(S24&gt;=90,H24&lt;=2),"値下げ・再出品・仕入停止を検討",IF(P24&lt;0.15,"送料・手数料を見直す","継続観察")))</x:f>
        <x:v>値下げ・再出品・仕入停止を検討</x:v>
      </x:c>
    </x:row>
    <x:row r="25">
      <x:c r="A25" s="95" t="str">
        <x:v>SYN-021</x:v>
      </x:c>
      <x:c r="B25" s="95" t="str">
        <x:v>ミニ工具ポーチ</x:v>
      </x:c>
      <x:c r="C25" s="95" t="str">
        <x:v>ホビー</x:v>
      </x:c>
      <x:c r="D25" s="95" t="str">
        <x:v>自社EC</x:v>
      </x:c>
      <x:c r="E25" s="95" t="n">
        <x:v>6</x:v>
      </x:c>
      <x:c r="F25" s="96" t="n">
        <x:v>46154</x:v>
      </x:c>
      <x:c r="G25" s="96" t="n">
        <x:v>46105</x:v>
      </x:c>
      <x:c r="H25" s="95" t="n">
        <x:v>0</x:v>
      </x:c>
      <x:c r="I25" s="97" t="n">
        <x:v>6030</x:v>
      </x:c>
      <x:c r="J25" s="97" t="n">
        <x:v>3497</x:v>
      </x:c>
      <x:c r="K25" s="98" t="n">
        <x:v>0.035</x:v>
      </x:c>
      <x:c r="L25" s="97" t="n">
        <x:v>450</x:v>
      </x:c>
      <x:c r="M25" s="97" t="n">
        <x:v>40</x:v>
      </x:c>
      <x:c r="N25" s="99" t="n">
        <x:f>I25*K25</x:f>
        <x:v>211.05</x:v>
      </x:c>
      <x:c r="O25" s="99" t="n">
        <x:f>I25-J25-N25-L25-M25</x:f>
        <x:v>1831.9499999999998</x:v>
      </x:c>
      <x:c r="P25" s="100" t="n">
        <x:f>IFERROR(O25/I25,0)</x:f>
        <x:v>0.3038059701492537</x:v>
      </x:c>
      <x:c r="Q25" s="99" t="n">
        <x:f>H25*I25</x:f>
        <x:v>0</x:v>
      </x:c>
      <x:c r="R25" s="99" t="n">
        <x:f>H25*O25</x:f>
        <x:v>0</x:v>
      </x:c>
      <x:c r="S25" s="99" t="n">
        <x:f>'見本レポート'!$B$3-G25</x:f>
        <x:v>110</x:v>
      </x:c>
      <x:c r="T25" s="99" t="str">
        <x:f>IF(S25&gt;=90,"90日以上",IF(S25&gt;=60,"60-89日","59日以下"))</x:f>
        <x:v>90日以上</x:v>
      </x:c>
      <x:c r="U25" s="99" t="str">
        <x:f>IF(O25&lt;0,"赤字",IF(AND(S25&gt;=90,H25&lt;=2),"要見直し",IF(P25&lt;0.15,"低利益","通常")))</x:f>
        <x:v>要見直し</x:v>
      </x:c>
      <x:c r="V25" s="99" t="n">
        <x:f>IF(U25="赤字",100,0)+IF(S25&gt;=90,50,0)+IF(P25&lt;0.15,30,0)+IF(E25&gt;=15,10,0)</x:f>
        <x:v>50</x:v>
      </x:c>
      <x:c r="W25" s="101" t="str">
        <x:f>IF(U25="赤字","価格・原価・送料を再確認",IF(AND(S25&gt;=90,H25&lt;=2),"値下げ・再出品・仕入停止を検討",IF(P25&lt;0.15,"送料・手数料を見直す","継続観察")))</x:f>
        <x:v>値下げ・再出品・仕入停止を検討</x:v>
      </x:c>
    </x:row>
    <x:row r="26">
      <x:c r="A26" s="95" t="str">
        <x:v>SYN-022</x:v>
      </x:c>
      <x:c r="B26" s="95" t="str">
        <x:v>ソフトクーラーバッグ</x:v>
      </x:c>
      <x:c r="C26" s="95" t="str">
        <x:v>インテリア</x:v>
      </x:c>
      <x:c r="D26" s="95" t="str">
        <x:v>モールA</x:v>
      </x:c>
      <x:c r="E26" s="95" t="n">
        <x:v>13</x:v>
      </x:c>
      <x:c r="F26" s="96" t="n">
        <x:v>46141</x:v>
      </x:c>
      <x:c r="G26" s="96" t="n">
        <x:v>46212</x:v>
      </x:c>
      <x:c r="H26" s="95" t="n">
        <x:v>18</x:v>
      </x:c>
      <x:c r="I26" s="97" t="n">
        <x:v>6460</x:v>
      </x:c>
      <x:c r="J26" s="97" t="n">
        <x:v>3230</x:v>
      </x:c>
      <x:c r="K26" s="98" t="n">
        <x:v>0.12</x:v>
      </x:c>
      <x:c r="L26" s="97" t="n">
        <x:v>600</x:v>
      </x:c>
      <x:c r="M26" s="97" t="n">
        <x:v>70</x:v>
      </x:c>
      <x:c r="N26" s="99" t="n">
        <x:f>I26*K26</x:f>
        <x:v>775.1999999999999</x:v>
      </x:c>
      <x:c r="O26" s="99" t="n">
        <x:f>I26-J26-N26-L26-M26</x:f>
        <x:v>1784.8000000000002</x:v>
      </x:c>
      <x:c r="P26" s="100" t="n">
        <x:f>IFERROR(O26/I26,0)</x:f>
        <x:v>0.27628482972136226</x:v>
      </x:c>
      <x:c r="Q26" s="99" t="n">
        <x:f>H26*I26</x:f>
        <x:v>116280</x:v>
      </x:c>
      <x:c r="R26" s="99" t="n">
        <x:f>H26*O26</x:f>
        <x:v>32126.4</x:v>
      </x:c>
      <x:c r="S26" s="99" t="n">
        <x:f>'見本レポート'!$B$3-G26</x:f>
        <x:v>3</x:v>
      </x:c>
      <x:c r="T26" s="99" t="str">
        <x:f>IF(S26&gt;=90,"90日以上",IF(S26&gt;=60,"60-89日","59日以下"))</x:f>
        <x:v>59日以下</x:v>
      </x:c>
      <x:c r="U26" s="99" t="str">
        <x:f>IF(O26&lt;0,"赤字",IF(AND(S26&gt;=90,H26&lt;=2),"要見直し",IF(P26&lt;0.15,"低利益","通常")))</x:f>
        <x:v>通常</x:v>
      </x:c>
      <x:c r="V26" s="99" t="n">
        <x:f>IF(U26="赤字",100,0)+IF(S26&gt;=90,50,0)+IF(P26&lt;0.15,30,0)+IF(E26&gt;=15,10,0)</x:f>
        <x:v>0</x:v>
      </x:c>
      <x:c r="W26" s="101" t="str">
        <x:f>IF(U26="赤字","価格・原価・送料を再確認",IF(AND(S26&gt;=90,H26&lt;=2),"値下げ・再出品・仕入停止を検討",IF(P26&lt;0.15,"送料・手数料を見直す","継続観察")))</x:f>
        <x:v>継続観察</x:v>
      </x:c>
    </x:row>
    <x:row r="27">
      <x:c r="A27" s="95" t="str">
        <x:v>SYN-023</x:v>
      </x:c>
      <x:c r="B27" s="95" t="str">
        <x:v>ブランケットクリップ</x:v>
      </x:c>
      <x:c r="C27" s="95" t="str">
        <x:v>キッチン雑貨</x:v>
      </x:c>
      <x:c r="D27" s="95" t="str">
        <x:v>モールB</x:v>
      </x:c>
      <x:c r="E27" s="95" t="n">
        <x:v>20</x:v>
      </x:c>
      <x:c r="F27" s="96" t="n">
        <x:v>46128</x:v>
      </x:c>
      <x:c r="G27" s="96" t="n">
        <x:v>46195</x:v>
      </x:c>
      <x:c r="H27" s="95" t="n">
        <x:v>14</x:v>
      </x:c>
      <x:c r="I27" s="97" t="n">
        <x:v>6890</x:v>
      </x:c>
      <x:c r="J27" s="97" t="n">
        <x:v>2894</x:v>
      </x:c>
      <x:c r="K27" s="98" t="n">
        <x:v>0.1</x:v>
      </x:c>
      <x:c r="L27" s="97" t="n">
        <x:v>850</x:v>
      </x:c>
      <x:c r="M27" s="97" t="n">
        <x:v>100</x:v>
      </x:c>
      <x:c r="N27" s="99" t="n">
        <x:f>I27*K27</x:f>
        <x:v>689</x:v>
      </x:c>
      <x:c r="O27" s="99" t="n">
        <x:f>I27-J27-N27-L27-M27</x:f>
        <x:v>2357</x:v>
      </x:c>
      <x:c r="P27" s="100" t="n">
        <x:f>IFERROR(O27/I27,0)</x:f>
        <x:v>0.3420899854862119</x:v>
      </x:c>
      <x:c r="Q27" s="99" t="n">
        <x:f>H27*I27</x:f>
        <x:v>96460</x:v>
      </x:c>
      <x:c r="R27" s="99" t="n">
        <x:f>H27*O27</x:f>
        <x:v>32998</x:v>
      </x:c>
      <x:c r="S27" s="99" t="n">
        <x:f>'見本レポート'!$B$3-G27</x:f>
        <x:v>20</x:v>
      </x:c>
      <x:c r="T27" s="99" t="str">
        <x:f>IF(S27&gt;=90,"90日以上",IF(S27&gt;=60,"60-89日","59日以下"))</x:f>
        <x:v>59日以下</x:v>
      </x:c>
      <x:c r="U27" s="99" t="str">
        <x:f>IF(O27&lt;0,"赤字",IF(AND(S27&gt;=90,H27&lt;=2),"要見直し",IF(P27&lt;0.15,"低利益","通常")))</x:f>
        <x:v>通常</x:v>
      </x:c>
      <x:c r="V27" s="99" t="n">
        <x:f>IF(U27="赤字",100,0)+IF(S27&gt;=90,50,0)+IF(P27&lt;0.15,30,0)+IF(E27&gt;=15,10,0)</x:f>
        <x:v>10</x:v>
      </x:c>
      <x:c r="W27" s="101" t="str">
        <x:f>IF(U27="赤字","価格・原価・送料を再確認",IF(AND(S27&gt;=90,H27&lt;=2),"値下げ・再出品・仕入停止を検討",IF(P27&lt;0.15,"送料・手数料を見直す","継続観察")))</x:f>
        <x:v>継続観察</x:v>
      </x:c>
    </x:row>
    <x:row r="28">
      <x:c r="A28" s="95" t="str">
        <x:v>SYN-024</x:v>
      </x:c>
      <x:c r="B28" s="95" t="str">
        <x:v>ルームスリッパ</x:v>
      </x:c>
      <x:c r="C28" s="95" t="str">
        <x:v>生活雑貨</x:v>
      </x:c>
      <x:c r="D28" s="95" t="str">
        <x:v>自社EC</x:v>
      </x:c>
      <x:c r="E28" s="95" t="n">
        <x:v>3</x:v>
      </x:c>
      <x:c r="F28" s="96" t="n">
        <x:v>46115</x:v>
      </x:c>
      <x:c r="G28" s="96" t="n">
        <x:v>46178</x:v>
      </x:c>
      <x:c r="H28" s="95" t="n">
        <x:v>0</x:v>
      </x:c>
      <x:c r="I28" s="97" t="n">
        <x:v>7320</x:v>
      </x:c>
      <x:c r="J28" s="97" t="n">
        <x:v>2708</x:v>
      </x:c>
      <x:c r="K28" s="98" t="n">
        <x:v>0.035</x:v>
      </x:c>
      <x:c r="L28" s="97" t="n">
        <x:v>1050</x:v>
      </x:c>
      <x:c r="M28" s="97" t="n">
        <x:v>130</x:v>
      </x:c>
      <x:c r="N28" s="99" t="n">
        <x:f>I28*K28</x:f>
        <x:v>256.20000000000005</x:v>
      </x:c>
      <x:c r="O28" s="99" t="n">
        <x:f>I28-J28-N28-L28-M28</x:f>
        <x:v>3175.8</x:v>
      </x:c>
      <x:c r="P28" s="100" t="n">
        <x:f>IFERROR(O28/I28,0)</x:f>
        <x:v>0.43385245901639347</x:v>
      </x:c>
      <x:c r="Q28" s="99" t="n">
        <x:f>H28*I28</x:f>
        <x:v>0</x:v>
      </x:c>
      <x:c r="R28" s="99" t="n">
        <x:f>H28*O28</x:f>
        <x:v>0</x:v>
      </x:c>
      <x:c r="S28" s="99" t="n">
        <x:f>'見本レポート'!$B$3-G28</x:f>
        <x:v>37</x:v>
      </x:c>
      <x:c r="T28" s="99" t="str">
        <x:f>IF(S28&gt;=90,"90日以上",IF(S28&gt;=60,"60-89日","59日以下"))</x:f>
        <x:v>59日以下</x:v>
      </x:c>
      <x:c r="U28" s="99" t="str">
        <x:f>IF(O28&lt;0,"赤字",IF(AND(S28&gt;=90,H28&lt;=2),"要見直し",IF(P28&lt;0.15,"低利益","通常")))</x:f>
        <x:v>通常</x:v>
      </x:c>
      <x:c r="V28" s="99" t="n">
        <x:f>IF(U28="赤字",100,0)+IF(S28&gt;=90,50,0)+IF(P28&lt;0.15,30,0)+IF(E28&gt;=15,10,0)</x:f>
        <x:v>0</x:v>
      </x:c>
      <x:c r="W28" s="101" t="str">
        <x:f>IF(U28="赤字","価格・原価・送料を再確認",IF(AND(S28&gt;=90,H28&lt;=2),"値下げ・再出品・仕入停止を検討",IF(P28&lt;0.15,"送料・手数料を見直す","継続観察")))</x:f>
        <x:v>継続観察</x:v>
      </x:c>
    </x:row>
    <x:row r="29">
      <x:c r="A29" s="95" t="str">
        <x:v>SYN-025</x:v>
      </x:c>
      <x:c r="B29" s="95" t="str">
        <x:v>フォトフレーム</x:v>
      </x:c>
      <x:c r="C29" s="95" t="str">
        <x:v>服飾小物</x:v>
      </x:c>
      <x:c r="D29" s="95" t="str">
        <x:v>モールA</x:v>
      </x:c>
      <x:c r="E29" s="95" t="n">
        <x:v>10</x:v>
      </x:c>
      <x:c r="F29" s="96" t="n">
        <x:v>46102</x:v>
      </x:c>
      <x:c r="G29" s="96" t="n">
        <x:v>46161</x:v>
      </x:c>
      <x:c r="H29" s="95" t="n">
        <x:v>0</x:v>
      </x:c>
      <x:c r="I29" s="97" t="n">
        <x:v>2550</x:v>
      </x:c>
      <x:c r="J29" s="97" t="n">
        <x:v>1734</x:v>
      </x:c>
      <x:c r="K29" s="98" t="n">
        <x:v>0.12</x:v>
      </x:c>
      <x:c r="L29" s="97" t="n">
        <x:v>300</x:v>
      </x:c>
      <x:c r="M29" s="97" t="n">
        <x:v>0</x:v>
      </x:c>
      <x:c r="N29" s="99" t="n">
        <x:f>I29*K29</x:f>
        <x:v>306</x:v>
      </x:c>
      <x:c r="O29" s="99" t="n">
        <x:f>I29-J29-N29-L29-M29</x:f>
        <x:v>210</x:v>
      </x:c>
      <x:c r="P29" s="100" t="n">
        <x:f>IFERROR(O29/I29,0)</x:f>
        <x:v>0.08235294117647059</x:v>
      </x:c>
      <x:c r="Q29" s="99" t="n">
        <x:f>H29*I29</x:f>
        <x:v>0</x:v>
      </x:c>
      <x:c r="R29" s="99" t="n">
        <x:f>H29*O29</x:f>
        <x:v>0</x:v>
      </x:c>
      <x:c r="S29" s="99" t="n">
        <x:f>'見本レポート'!$B$3-G29</x:f>
        <x:v>54</x:v>
      </x:c>
      <x:c r="T29" s="99" t="str">
        <x:f>IF(S29&gt;=90,"90日以上",IF(S29&gt;=60,"60-89日","59日以下"))</x:f>
        <x:v>59日以下</x:v>
      </x:c>
      <x:c r="U29" s="99" t="str">
        <x:f>IF(O29&lt;0,"赤字",IF(AND(S29&gt;=90,H29&lt;=2),"要見直し",IF(P29&lt;0.15,"低利益","通常")))</x:f>
        <x:v>低利益</x:v>
      </x:c>
      <x:c r="V29" s="99" t="n">
        <x:f>IF(U29="赤字",100,0)+IF(S29&gt;=90,50,0)+IF(P29&lt;0.15,30,0)+IF(E29&gt;=15,10,0)</x:f>
        <x:v>30</x:v>
      </x:c>
      <x:c r="W29" s="101" t="str">
        <x:f>IF(U29="赤字","価格・原価・送料を再確認",IF(AND(S29&gt;=90,H29&lt;=2),"値下げ・再出品・仕入停止を検討",IF(P29&lt;0.15,"送料・手数料を見直す","継続観察")))</x:f>
        <x:v>送料・手数料を見直す</x:v>
      </x:c>
    </x:row>
    <x:row r="30">
      <x:c r="A30" s="95" t="str">
        <x:v>SYN-026</x:v>
      </x:c>
      <x:c r="B30" s="95" t="str">
        <x:v>テーブルランナー</x:v>
      </x:c>
      <x:c r="C30" s="95" t="str">
        <x:v>アウトドア</x:v>
      </x:c>
      <x:c r="D30" s="95" t="str">
        <x:v>モールB</x:v>
      </x:c>
      <x:c r="E30" s="95" t="n">
        <x:v>17</x:v>
      </x:c>
      <x:c r="F30" s="96" t="n">
        <x:v>46201</x:v>
      </x:c>
      <x:c r="G30" s="96" t="n">
        <x:v>46144</x:v>
      </x:c>
      <x:c r="H30" s="95" t="n">
        <x:v>0</x:v>
      </x:c>
      <x:c r="I30" s="97" t="n">
        <x:v>2980</x:v>
      </x:c>
      <x:c r="J30" s="97" t="n">
        <x:v>1728</x:v>
      </x:c>
      <x:c r="K30" s="98" t="n">
        <x:v>0.1</x:v>
      </x:c>
      <x:c r="L30" s="97" t="n">
        <x:v>450</x:v>
      </x:c>
      <x:c r="M30" s="97" t="n">
        <x:v>40</x:v>
      </x:c>
      <x:c r="N30" s="99" t="n">
        <x:f>I30*K30</x:f>
        <x:v>298</x:v>
      </x:c>
      <x:c r="O30" s="99" t="n">
        <x:f>I30-J30-N30-L30-M30</x:f>
        <x:v>464</x:v>
      </x:c>
      <x:c r="P30" s="100" t="n">
        <x:f>IFERROR(O30/I30,0)</x:f>
        <x:v>0.15570469798657718</x:v>
      </x:c>
      <x:c r="Q30" s="99" t="n">
        <x:f>H30*I30</x:f>
        <x:v>0</x:v>
      </x:c>
      <x:c r="R30" s="99" t="n">
        <x:f>H30*O30</x:f>
        <x:v>0</x:v>
      </x:c>
      <x:c r="S30" s="99" t="n">
        <x:f>'見本レポート'!$B$3-G30</x:f>
        <x:v>71</x:v>
      </x:c>
      <x:c r="T30" s="99" t="str">
        <x:f>IF(S30&gt;=90,"90日以上",IF(S30&gt;=60,"60-89日","59日以下"))</x:f>
        <x:v>60-89日</x:v>
      </x:c>
      <x:c r="U30" s="99" t="str">
        <x:f>IF(O30&lt;0,"赤字",IF(AND(S30&gt;=90,H30&lt;=2),"要見直し",IF(P30&lt;0.15,"低利益","通常")))</x:f>
        <x:v>通常</x:v>
      </x:c>
      <x:c r="V30" s="99" t="n">
        <x:f>IF(U30="赤字",100,0)+IF(S30&gt;=90,50,0)+IF(P30&lt;0.15,30,0)+IF(E30&gt;=15,10,0)</x:f>
        <x:v>10</x:v>
      </x:c>
      <x:c r="W30" s="101" t="str">
        <x:f>IF(U30="赤字","価格・原価・送料を再確認",IF(AND(S30&gt;=90,H30&lt;=2),"値下げ・再出品・仕入停止を検討",IF(P30&lt;0.15,"送料・手数料を見直す","継続観察")))</x:f>
        <x:v>継続観察</x:v>
      </x:c>
    </x:row>
    <x:row r="31">
      <x:c r="A31" s="95" t="str">
        <x:v>SYN-027</x:v>
      </x:c>
      <x:c r="B31" s="95" t="str">
        <x:v>カラビナセット</x:v>
      </x:c>
      <x:c r="C31" s="95" t="str">
        <x:v>ホビー</x:v>
      </x:c>
      <x:c r="D31" s="95" t="str">
        <x:v>自社EC</x:v>
      </x:c>
      <x:c r="E31" s="95" t="n">
        <x:v>24</x:v>
      </x:c>
      <x:c r="F31" s="96" t="n">
        <x:v>46188</x:v>
      </x:c>
      <x:c r="G31" s="96" t="n">
        <x:v>46127</x:v>
      </x:c>
      <x:c r="H31" s="95" t="n">
        <x:v>0</x:v>
      </x:c>
      <x:c r="I31" s="97" t="n">
        <x:v>3410</x:v>
      </x:c>
      <x:c r="J31" s="97" t="n">
        <x:v>1705</x:v>
      </x:c>
      <x:c r="K31" s="98" t="n">
        <x:v>0.035</x:v>
      </x:c>
      <x:c r="L31" s="97" t="n">
        <x:v>600</x:v>
      </x:c>
      <x:c r="M31" s="97" t="n">
        <x:v>70</x:v>
      </x:c>
      <x:c r="N31" s="99" t="n">
        <x:f>I31*K31</x:f>
        <x:v>119.35000000000001</x:v>
      </x:c>
      <x:c r="O31" s="99" t="n">
        <x:f>I31-J31-N31-L31-M31</x:f>
        <x:v>915.6500000000001</x:v>
      </x:c>
      <x:c r="P31" s="100" t="n">
        <x:f>IFERROR(O31/I31,0)</x:f>
        <x:v>0.26851906158357775</x:v>
      </x:c>
      <x:c r="Q31" s="99" t="n">
        <x:f>H31*I31</x:f>
        <x:v>0</x:v>
      </x:c>
      <x:c r="R31" s="99" t="n">
        <x:f>H31*O31</x:f>
        <x:v>0</x:v>
      </x:c>
      <x:c r="S31" s="99" t="n">
        <x:f>'見本レポート'!$B$3-G31</x:f>
        <x:v>88</x:v>
      </x:c>
      <x:c r="T31" s="99" t="str">
        <x:f>IF(S31&gt;=90,"90日以上",IF(S31&gt;=60,"60-89日","59日以下"))</x:f>
        <x:v>60-89日</x:v>
      </x:c>
      <x:c r="U31" s="99" t="str">
        <x:f>IF(O31&lt;0,"赤字",IF(AND(S31&gt;=90,H31&lt;=2),"要見直し",IF(P31&lt;0.15,"低利益","通常")))</x:f>
        <x:v>通常</x:v>
      </x:c>
      <x:c r="V31" s="99" t="n">
        <x:f>IF(U31="赤字",100,0)+IF(S31&gt;=90,50,0)+IF(P31&lt;0.15,30,0)+IF(E31&gt;=15,10,0)</x:f>
        <x:v>10</x:v>
      </x:c>
      <x:c r="W31" s="101" t="str">
        <x:f>IF(U31="赤字","価格・原価・送料を再確認",IF(AND(S31&gt;=90,H31&lt;=2),"値下げ・再出品・仕入停止を検討",IF(P31&lt;0.15,"送料・手数料を見直す","継続観察")))</x:f>
        <x:v>継続観察</x:v>
      </x:c>
    </x:row>
    <x:row r="32">
      <x:c r="A32" s="95" t="str">
        <x:v>SYN-028</x:v>
      </x:c>
      <x:c r="B32" s="95" t="str">
        <x:v>防水スタッフバッグ</x:v>
      </x:c>
      <x:c r="C32" s="95" t="str">
        <x:v>インテリア</x:v>
      </x:c>
      <x:c r="D32" s="95" t="str">
        <x:v>モールA</x:v>
      </x:c>
      <x:c r="E32" s="95" t="n">
        <x:v>7</x:v>
      </x:c>
      <x:c r="F32" s="96" t="n">
        <x:v>46175</x:v>
      </x:c>
      <x:c r="G32" s="96" t="n">
        <x:v>46110</x:v>
      </x:c>
      <x:c r="H32" s="95" t="n">
        <x:v>0</x:v>
      </x:c>
      <x:c r="I32" s="97" t="n">
        <x:v>3840</x:v>
      </x:c>
      <x:c r="J32" s="97" t="n">
        <x:v>1613</x:v>
      </x:c>
      <x:c r="K32" s="98" t="n">
        <x:v>0.12</x:v>
      </x:c>
      <x:c r="L32" s="97" t="n">
        <x:v>850</x:v>
      </x:c>
      <x:c r="M32" s="97" t="n">
        <x:v>100</x:v>
      </x:c>
      <x:c r="N32" s="99" t="n">
        <x:f>I32*K32</x:f>
        <x:v>460.79999999999995</x:v>
      </x:c>
      <x:c r="O32" s="99" t="n">
        <x:f>I32-J32-N32-L32-M32</x:f>
        <x:v>816.2</x:v>
      </x:c>
      <x:c r="P32" s="100" t="n">
        <x:f>IFERROR(O32/I32,0)</x:f>
        <x:v>0.21255208333333334</x:v>
      </x:c>
      <x:c r="Q32" s="99" t="n">
        <x:f>H32*I32</x:f>
        <x:v>0</x:v>
      </x:c>
      <x:c r="R32" s="99" t="n">
        <x:f>H32*O32</x:f>
        <x:v>0</x:v>
      </x:c>
      <x:c r="S32" s="99" t="n">
        <x:f>'見本レポート'!$B$3-G32</x:f>
        <x:v>105</x:v>
      </x:c>
      <x:c r="T32" s="99" t="str">
        <x:f>IF(S32&gt;=90,"90日以上",IF(S32&gt;=60,"60-89日","59日以下"))</x:f>
        <x:v>90日以上</x:v>
      </x:c>
      <x:c r="U32" s="99" t="str">
        <x:f>IF(O32&lt;0,"赤字",IF(AND(S32&gt;=90,H32&lt;=2),"要見直し",IF(P32&lt;0.15,"低利益","通常")))</x:f>
        <x:v>要見直し</x:v>
      </x:c>
      <x:c r="V32" s="99" t="n">
        <x:f>IF(U32="赤字",100,0)+IF(S32&gt;=90,50,0)+IF(P32&lt;0.15,30,0)+IF(E32&gt;=15,10,0)</x:f>
        <x:v>50</x:v>
      </x:c>
      <x:c r="W32" s="101" t="str">
        <x:f>IF(U32="赤字","価格・原価・送料を再確認",IF(AND(S32&gt;=90,H32&lt;=2),"値下げ・再出品・仕入停止を検討",IF(P32&lt;0.15,"送料・手数料を見直す","継続観察")))</x:f>
        <x:v>値下げ・再出品・仕入停止を検討</x:v>
      </x:c>
    </x:row>
    <x:row r="33">
      <x:c r="A33" s="95" t="str">
        <x:v>SYN-029</x:v>
      </x:c>
      <x:c r="B33" s="95" t="str">
        <x:v>刺繍ワッペン</x:v>
      </x:c>
      <x:c r="C33" s="95" t="str">
        <x:v>キッチン雑貨</x:v>
      </x:c>
      <x:c r="D33" s="95" t="str">
        <x:v>モールB</x:v>
      </x:c>
      <x:c r="E33" s="95" t="n">
        <x:v>14</x:v>
      </x:c>
      <x:c r="F33" s="96" t="n">
        <x:v>46162</x:v>
      </x:c>
      <x:c r="G33" s="96" t="n">
        <x:v>46093</x:v>
      </x:c>
      <x:c r="H33" s="95" t="n">
        <x:v>0</x:v>
      </x:c>
      <x:c r="I33" s="97" t="n">
        <x:v>4270</x:v>
      </x:c>
      <x:c r="J33" s="97" t="n">
        <x:v>1580</x:v>
      </x:c>
      <x:c r="K33" s="98" t="n">
        <x:v>0.1</x:v>
      </x:c>
      <x:c r="L33" s="97" t="n">
        <x:v>1050</x:v>
      </x:c>
      <x:c r="M33" s="97" t="n">
        <x:v>130</x:v>
      </x:c>
      <x:c r="N33" s="99" t="n">
        <x:f>I33*K33</x:f>
        <x:v>427</x:v>
      </x:c>
      <x:c r="O33" s="99" t="n">
        <x:f>I33-J33-N33-L33-M33</x:f>
        <x:v>1083</x:v>
      </x:c>
      <x:c r="P33" s="100" t="n">
        <x:f>IFERROR(O33/I33,0)</x:f>
        <x:v>0.2536299765807963</x:v>
      </x:c>
      <x:c r="Q33" s="99" t="n">
        <x:f>H33*I33</x:f>
        <x:v>0</x:v>
      </x:c>
      <x:c r="R33" s="99" t="n">
        <x:f>H33*O33</x:f>
        <x:v>0</x:v>
      </x:c>
      <x:c r="S33" s="99" t="n">
        <x:f>'見本レポート'!$B$3-G33</x:f>
        <x:v>122</x:v>
      </x:c>
      <x:c r="T33" s="99" t="str">
        <x:f>IF(S33&gt;=90,"90日以上",IF(S33&gt;=60,"60-89日","59日以下"))</x:f>
        <x:v>90日以上</x:v>
      </x:c>
      <x:c r="U33" s="99" t="str">
        <x:f>IF(O33&lt;0,"赤字",IF(AND(S33&gt;=90,H33&lt;=2),"要見直し",IF(P33&lt;0.15,"低利益","通常")))</x:f>
        <x:v>要見直し</x:v>
      </x:c>
      <x:c r="V33" s="99" t="n">
        <x:f>IF(U33="赤字",100,0)+IF(S33&gt;=90,50,0)+IF(P33&lt;0.15,30,0)+IF(E33&gt;=15,10,0)</x:f>
        <x:v>50</x:v>
      </x:c>
      <x:c r="W33" s="101" t="str">
        <x:f>IF(U33="赤字","価格・原価・送料を再確認",IF(AND(S33&gt;=90,H33&lt;=2),"値下げ・再出品・仕入停止を検討",IF(P33&lt;0.15,"送料・手数料を見直す","継続観察")))</x:f>
        <x:v>値下げ・再出品・仕入停止を検討</x:v>
      </x:c>
    </x:row>
    <x:row r="34">
      <x:c r="A34" s="95" t="str">
        <x:v>SYN-030</x:v>
      </x:c>
      <x:c r="B34" s="95" t="str">
        <x:v>ポストカードセット</x:v>
      </x:c>
      <x:c r="C34" s="95" t="str">
        <x:v>生活雑貨</x:v>
      </x:c>
      <x:c r="D34" s="95" t="str">
        <x:v>自社EC</x:v>
      </x:c>
      <x:c r="E34" s="95" t="n">
        <x:v>21</x:v>
      </x:c>
      <x:c r="F34" s="96" t="n">
        <x:v>46149</x:v>
      </x:c>
      <x:c r="G34" s="96" t="n">
        <x:v>46200</x:v>
      </x:c>
      <x:c r="H34" s="95" t="n">
        <x:v>15</x:v>
      </x:c>
      <x:c r="I34" s="97" t="n">
        <x:v>4700</x:v>
      </x:c>
      <x:c r="J34" s="97" t="n">
        <x:v>3196</x:v>
      </x:c>
      <x:c r="K34" s="98" t="n">
        <x:v>0.035</x:v>
      </x:c>
      <x:c r="L34" s="97" t="n">
        <x:v>300</x:v>
      </x:c>
      <x:c r="M34" s="97" t="n">
        <x:v>0</x:v>
      </x:c>
      <x:c r="N34" s="99" t="n">
        <x:f>I34*K34</x:f>
        <x:v>164.50000000000003</x:v>
      </x:c>
      <x:c r="O34" s="99" t="n">
        <x:f>I34-J34-N34-L34-M34</x:f>
        <x:v>1039.5</x:v>
      </x:c>
      <x:c r="P34" s="100" t="n">
        <x:f>IFERROR(O34/I34,0)</x:f>
        <x:v>0.22117021276595744</x:v>
      </x:c>
      <x:c r="Q34" s="99" t="n">
        <x:f>H34*I34</x:f>
        <x:v>70500</x:v>
      </x:c>
      <x:c r="R34" s="99" t="n">
        <x:f>H34*O34</x:f>
        <x:v>15592.5</x:v>
      </x:c>
      <x:c r="S34" s="99" t="n">
        <x:f>'見本レポート'!$B$3-G34</x:f>
        <x:v>15</x:v>
      </x:c>
      <x:c r="T34" s="99" t="str">
        <x:f>IF(S34&gt;=90,"90日以上",IF(S34&gt;=60,"60-89日","59日以下"))</x:f>
        <x:v>59日以下</x:v>
      </x:c>
      <x:c r="U34" s="99" t="str">
        <x:f>IF(O34&lt;0,"赤字",IF(AND(S34&gt;=90,H34&lt;=2),"要見直し",IF(P34&lt;0.15,"低利益","通常")))</x:f>
        <x:v>通常</x:v>
      </x:c>
      <x:c r="V34" s="99" t="n">
        <x:f>IF(U34="赤字",100,0)+IF(S34&gt;=90,50,0)+IF(P34&lt;0.15,30,0)+IF(E34&gt;=15,10,0)</x:f>
        <x:v>10</x:v>
      </x:c>
      <x:c r="W34" s="101" t="str">
        <x:f>IF(U34="赤字","価格・原価・送料を再確認",IF(AND(S34&gt;=90,H34&lt;=2),"値下げ・再出品・仕入停止を検討",IF(P34&lt;0.15,"送料・手数料を見直す","継続観察")))</x:f>
        <x:v>継続観察</x:v>
      </x:c>
    </x:row>
    <x:row r="35">
      <x:c r="A35" s="95" t="str">
        <x:v>SYN-031</x:v>
      </x:c>
      <x:c r="B35" s="95" t="str">
        <x:v>手帳カバー</x:v>
      </x:c>
      <x:c r="C35" s="95" t="str">
        <x:v>服飾小物</x:v>
      </x:c>
      <x:c r="D35" s="95" t="str">
        <x:v>モールA</x:v>
      </x:c>
      <x:c r="E35" s="95" t="n">
        <x:v>4</x:v>
      </x:c>
      <x:c r="F35" s="96" t="n">
        <x:v>46136</x:v>
      </x:c>
      <x:c r="G35" s="96" t="n">
        <x:v>46183</x:v>
      </x:c>
      <x:c r="H35" s="95" t="n">
        <x:v>0</x:v>
      </x:c>
      <x:c r="I35" s="97" t="n">
        <x:v>5130</x:v>
      </x:c>
      <x:c r="J35" s="97" t="n">
        <x:v>2975</x:v>
      </x:c>
      <x:c r="K35" s="98" t="n">
        <x:v>0.12</x:v>
      </x:c>
      <x:c r="L35" s="97" t="n">
        <x:v>450</x:v>
      </x:c>
      <x:c r="M35" s="97" t="n">
        <x:v>40</x:v>
      </x:c>
      <x:c r="N35" s="99" t="n">
        <x:f>I35*K35</x:f>
        <x:v>615.6</x:v>
      </x:c>
      <x:c r="O35" s="99" t="n">
        <x:f>I35-J35-N35-L35-M35</x:f>
        <x:v>1049.4</x:v>
      </x:c>
      <x:c r="P35" s="100" t="n">
        <x:f>IFERROR(O35/I35,0)</x:f>
        <x:v>0.20456140350877194</x:v>
      </x:c>
      <x:c r="Q35" s="99" t="n">
        <x:f>H35*I35</x:f>
        <x:v>0</x:v>
      </x:c>
      <x:c r="R35" s="99" t="n">
        <x:f>H35*O35</x:f>
        <x:v>0</x:v>
      </x:c>
      <x:c r="S35" s="99" t="n">
        <x:f>'見本レポート'!$B$3-G35</x:f>
        <x:v>32</x:v>
      </x:c>
      <x:c r="T35" s="99" t="str">
        <x:f>IF(S35&gt;=90,"90日以上",IF(S35&gt;=60,"60-89日","59日以下"))</x:f>
        <x:v>59日以下</x:v>
      </x:c>
      <x:c r="U35" s="99" t="str">
        <x:f>IF(O35&lt;0,"赤字",IF(AND(S35&gt;=90,H35&lt;=2),"要見直し",IF(P35&lt;0.15,"低利益","通常")))</x:f>
        <x:v>通常</x:v>
      </x:c>
      <x:c r="V35" s="99" t="n">
        <x:f>IF(U35="赤字",100,0)+IF(S35&gt;=90,50,0)+IF(P35&lt;0.15,30,0)+IF(E35&gt;=15,10,0)</x:f>
        <x:v>0</x:v>
      </x:c>
      <x:c r="W35" s="101" t="str">
        <x:f>IF(U35="赤字","価格・原価・送料を再確認",IF(AND(S35&gt;=90,H35&lt;=2),"値下げ・再出品・仕入停止を検討",IF(P35&lt;0.15,"送料・手数料を見直す","継続観察")))</x:f>
        <x:v>継続観察</x:v>
      </x:c>
    </x:row>
    <x:row r="36">
      <x:c r="A36" s="95" t="str">
        <x:v>SYN-032</x:v>
      </x:c>
      <x:c r="B36" s="95" t="str">
        <x:v>アクリル小物ケース</x:v>
      </x:c>
      <x:c r="C36" s="95" t="str">
        <x:v>アウトドア</x:v>
      </x:c>
      <x:c r="D36" s="95" t="str">
        <x:v>モールB</x:v>
      </x:c>
      <x:c r="E36" s="95" t="n">
        <x:v>11</x:v>
      </x:c>
      <x:c r="F36" s="96" t="n">
        <x:v>46123</x:v>
      </x:c>
      <x:c r="G36" s="96" t="n">
        <x:v>46166</x:v>
      </x:c>
      <x:c r="H36" s="95" t="n">
        <x:v>0</x:v>
      </x:c>
      <x:c r="I36" s="97" t="n">
        <x:v>5560</x:v>
      </x:c>
      <x:c r="J36" s="97" t="n">
        <x:v>2780</x:v>
      </x:c>
      <x:c r="K36" s="98" t="n">
        <x:v>0.1</x:v>
      </x:c>
      <x:c r="L36" s="97" t="n">
        <x:v>600</x:v>
      </x:c>
      <x:c r="M36" s="97" t="n">
        <x:v>70</x:v>
      </x:c>
      <x:c r="N36" s="99" t="n">
        <x:f>I36*K36</x:f>
        <x:v>556</x:v>
      </x:c>
      <x:c r="O36" s="99" t="n">
        <x:f>I36-J36-N36-L36-M36</x:f>
        <x:v>1554</x:v>
      </x:c>
      <x:c r="P36" s="100" t="n">
        <x:f>IFERROR(O36/I36,0)</x:f>
        <x:v>0.27949640287769784</x:v>
      </x:c>
      <x:c r="Q36" s="99" t="n">
        <x:f>H36*I36</x:f>
        <x:v>0</x:v>
      </x:c>
      <x:c r="R36" s="99" t="n">
        <x:f>H36*O36</x:f>
        <x:v>0</x:v>
      </x:c>
      <x:c r="S36" s="99" t="n">
        <x:f>'見本レポート'!$B$3-G36</x:f>
        <x:v>49</x:v>
      </x:c>
      <x:c r="T36" s="99" t="str">
        <x:f>IF(S36&gt;=90,"90日以上",IF(S36&gt;=60,"60-89日","59日以下"))</x:f>
        <x:v>59日以下</x:v>
      </x:c>
      <x:c r="U36" s="99" t="str">
        <x:f>IF(O36&lt;0,"赤字",IF(AND(S36&gt;=90,H36&lt;=2),"要見直し",IF(P36&lt;0.15,"低利益","通常")))</x:f>
        <x:v>通常</x:v>
      </x:c>
      <x:c r="V36" s="99" t="n">
        <x:f>IF(U36="赤字",100,0)+IF(S36&gt;=90,50,0)+IF(P36&lt;0.15,30,0)+IF(E36&gt;=15,10,0)</x:f>
        <x:v>0</x:v>
      </x:c>
      <x:c r="W36" s="101" t="str">
        <x:f>IF(U36="赤字","価格・原価・送料を再確認",IF(AND(S36&gt;=90,H36&lt;=2),"値下げ・再出品・仕入停止を検討",IF(P36&lt;0.15,"送料・手数料を見直す","継続観察")))</x:f>
        <x:v>継続観察</x:v>
      </x:c>
    </x:row>
    <x:row r="37">
      <x:c r="A37" s="95" t="str">
        <x:v>SYN-033</x:v>
      </x:c>
      <x:c r="B37" s="95" t="str">
        <x:v>ボードゲーム用収納袋</x:v>
      </x:c>
      <x:c r="C37" s="95" t="str">
        <x:v>ホビー</x:v>
      </x:c>
      <x:c r="D37" s="95" t="str">
        <x:v>自社EC</x:v>
      </x:c>
      <x:c r="E37" s="95" t="n">
        <x:v>18</x:v>
      </x:c>
      <x:c r="F37" s="96" t="n">
        <x:v>46110</x:v>
      </x:c>
      <x:c r="G37" s="96" t="n">
        <x:v>46149</x:v>
      </x:c>
      <x:c r="H37" s="95" t="n">
        <x:v>0</x:v>
      </x:c>
      <x:c r="I37" s="97" t="n">
        <x:v>5990</x:v>
      </x:c>
      <x:c r="J37" s="97" t="n">
        <x:v>2516</x:v>
      </x:c>
      <x:c r="K37" s="98" t="n">
        <x:v>0.035</x:v>
      </x:c>
      <x:c r="L37" s="97" t="n">
        <x:v>850</x:v>
      </x:c>
      <x:c r="M37" s="97" t="n">
        <x:v>100</x:v>
      </x:c>
      <x:c r="N37" s="99" t="n">
        <x:f>I37*K37</x:f>
        <x:v>209.65000000000003</x:v>
      </x:c>
      <x:c r="O37" s="99" t="n">
        <x:f>I37-J37-N37-L37-M37</x:f>
        <x:v>2314.35</x:v>
      </x:c>
      <x:c r="P37" s="100" t="n">
        <x:f>IFERROR(O37/I37,0)</x:f>
        <x:v>0.38636894824707846</x:v>
      </x:c>
      <x:c r="Q37" s="99" t="n">
        <x:f>H37*I37</x:f>
        <x:v>0</x:v>
      </x:c>
      <x:c r="R37" s="99" t="n">
        <x:f>H37*O37</x:f>
        <x:v>0</x:v>
      </x:c>
      <x:c r="S37" s="99" t="n">
        <x:f>'見本レポート'!$B$3-G37</x:f>
        <x:v>66</x:v>
      </x:c>
      <x:c r="T37" s="99" t="str">
        <x:f>IF(S37&gt;=90,"90日以上",IF(S37&gt;=60,"60-89日","59日以下"))</x:f>
        <x:v>60-89日</x:v>
      </x:c>
      <x:c r="U37" s="99" t="str">
        <x:f>IF(O37&lt;0,"赤字",IF(AND(S37&gt;=90,H37&lt;=2),"要見直し",IF(P37&lt;0.15,"低利益","通常")))</x:f>
        <x:v>通常</x:v>
      </x:c>
      <x:c r="V37" s="99" t="n">
        <x:f>IF(U37="赤字",100,0)+IF(S37&gt;=90,50,0)+IF(P37&lt;0.15,30,0)+IF(E37&gt;=15,10,0)</x:f>
        <x:v>10</x:v>
      </x:c>
      <x:c r="W37" s="101" t="str">
        <x:f>IF(U37="赤字","価格・原価・送料を再確認",IF(AND(S37&gt;=90,H37&lt;=2),"値下げ・再出品・仕入停止を検討",IF(P37&lt;0.15,"送料・手数料を見直す","継続観察")))</x:f>
        <x:v>継続観察</x:v>
      </x:c>
    </x:row>
    <x:row r="38">
      <x:c r="A38" s="95" t="str">
        <x:v>SYN-034</x:v>
      </x:c>
      <x:c r="B38" s="95" t="str">
        <x:v>竹製トレー</x:v>
      </x:c>
      <x:c r="C38" s="95" t="str">
        <x:v>インテリア</x:v>
      </x:c>
      <x:c r="D38" s="95" t="str">
        <x:v>モールA</x:v>
      </x:c>
      <x:c r="E38" s="95" t="n">
        <x:v>25</x:v>
      </x:c>
      <x:c r="F38" s="96" t="n">
        <x:v>46097</x:v>
      </x:c>
      <x:c r="G38" s="96" t="n">
        <x:v>46132</x:v>
      </x:c>
      <x:c r="H38" s="95" t="n">
        <x:v>0</x:v>
      </x:c>
      <x:c r="I38" s="97" t="n">
        <x:v>6420</x:v>
      </x:c>
      <x:c r="J38" s="97" t="n">
        <x:v>2375</x:v>
      </x:c>
      <x:c r="K38" s="98" t="n">
        <x:v>0.12</x:v>
      </x:c>
      <x:c r="L38" s="97" t="n">
        <x:v>1050</x:v>
      </x:c>
      <x:c r="M38" s="97" t="n">
        <x:v>130</x:v>
      </x:c>
      <x:c r="N38" s="99" t="n">
        <x:f>I38*K38</x:f>
        <x:v>770.4</x:v>
      </x:c>
      <x:c r="O38" s="99" t="n">
        <x:f>I38-J38-N38-L38-M38</x:f>
        <x:v>2094.6</x:v>
      </x:c>
      <x:c r="P38" s="100" t="n">
        <x:f>IFERROR(O38/I38,0)</x:f>
        <x:v>0.3262616822429906</x:v>
      </x:c>
      <x:c r="Q38" s="99" t="n">
        <x:f>H38*I38</x:f>
        <x:v>0</x:v>
      </x:c>
      <x:c r="R38" s="99" t="n">
        <x:f>H38*O38</x:f>
        <x:v>0</x:v>
      </x:c>
      <x:c r="S38" s="99" t="n">
        <x:f>'見本レポート'!$B$3-G38</x:f>
        <x:v>83</x:v>
      </x:c>
      <x:c r="T38" s="99" t="str">
        <x:f>IF(S38&gt;=90,"90日以上",IF(S38&gt;=60,"60-89日","59日以下"))</x:f>
        <x:v>60-89日</x:v>
      </x:c>
      <x:c r="U38" s="99" t="str">
        <x:f>IF(O38&lt;0,"赤字",IF(AND(S38&gt;=90,H38&lt;=2),"要見直し",IF(P38&lt;0.15,"低利益","通常")))</x:f>
        <x:v>通常</x:v>
      </x:c>
      <x:c r="V38" s="99" t="n">
        <x:f>IF(U38="赤字",100,0)+IF(S38&gt;=90,50,0)+IF(P38&lt;0.15,30,0)+IF(E38&gt;=15,10,0)</x:f>
        <x:v>10</x:v>
      </x:c>
      <x:c r="W38" s="101" t="str">
        <x:f>IF(U38="赤字","価格・原価・送料を再確認",IF(AND(S38&gt;=90,H38&lt;=2),"値下げ・再出品・仕入停止を検討",IF(P38&lt;0.15,"送料・手数料を見直す","継続観察")))</x:f>
        <x:v>継続観察</x:v>
      </x:c>
    </x:row>
    <x:row r="39">
      <x:c r="A39" s="95" t="str">
        <x:v>SYN-035</x:v>
      </x:c>
      <x:c r="B39" s="95" t="str">
        <x:v>リネンエプロン</x:v>
      </x:c>
      <x:c r="C39" s="95" t="str">
        <x:v>キッチン雑貨</x:v>
      </x:c>
      <x:c r="D39" s="95" t="str">
        <x:v>モールB</x:v>
      </x:c>
      <x:c r="E39" s="95" t="n">
        <x:v>8</x:v>
      </x:c>
      <x:c r="F39" s="96" t="n">
        <x:v>46196</x:v>
      </x:c>
      <x:c r="G39" s="96" t="n">
        <x:v>46115</x:v>
      </x:c>
      <x:c r="H39" s="95" t="n">
        <x:v>0</x:v>
      </x:c>
      <x:c r="I39" s="97" t="n">
        <x:v>6850</x:v>
      </x:c>
      <x:c r="J39" s="97" t="n">
        <x:v>4658</x:v>
      </x:c>
      <x:c r="K39" s="98" t="n">
        <x:v>0.1</x:v>
      </x:c>
      <x:c r="L39" s="97" t="n">
        <x:v>300</x:v>
      </x:c>
      <x:c r="M39" s="97" t="n">
        <x:v>0</x:v>
      </x:c>
      <x:c r="N39" s="99" t="n">
        <x:f>I39*K39</x:f>
        <x:v>685</x:v>
      </x:c>
      <x:c r="O39" s="99" t="n">
        <x:f>I39-J39-N39-L39-M39</x:f>
        <x:v>1207</x:v>
      </x:c>
      <x:c r="P39" s="100" t="n">
        <x:f>IFERROR(O39/I39,0)</x:f>
        <x:v>0.1762043795620438</x:v>
      </x:c>
      <x:c r="Q39" s="99" t="n">
        <x:f>H39*I39</x:f>
        <x:v>0</x:v>
      </x:c>
      <x:c r="R39" s="99" t="n">
        <x:f>H39*O39</x:f>
        <x:v>0</x:v>
      </x:c>
      <x:c r="S39" s="99" t="n">
        <x:f>'見本レポート'!$B$3-G39</x:f>
        <x:v>100</x:v>
      </x:c>
      <x:c r="T39" s="99" t="str">
        <x:f>IF(S39&gt;=90,"90日以上",IF(S39&gt;=60,"60-89日","59日以下"))</x:f>
        <x:v>90日以上</x:v>
      </x:c>
      <x:c r="U39" s="99" t="str">
        <x:f>IF(O39&lt;0,"赤字",IF(AND(S39&gt;=90,H39&lt;=2),"要見直し",IF(P39&lt;0.15,"低利益","通常")))</x:f>
        <x:v>要見直し</x:v>
      </x:c>
      <x:c r="V39" s="99" t="n">
        <x:f>IF(U39="赤字",100,0)+IF(S39&gt;=90,50,0)+IF(P39&lt;0.15,30,0)+IF(E39&gt;=15,10,0)</x:f>
        <x:v>50</x:v>
      </x:c>
      <x:c r="W39" s="101" t="str">
        <x:f>IF(U39="赤字","価格・原価・送料を再確認",IF(AND(S39&gt;=90,H39&lt;=2),"値下げ・再出品・仕入停止を検討",IF(P39&lt;0.15,"送料・手数料を見直す","継続観察")))</x:f>
        <x:v>値下げ・再出品・仕入停止を検討</x:v>
      </x:c>
    </x:row>
    <x:row r="40">
      <x:c r="A40" s="95" t="str">
        <x:v>SYN-036</x:v>
      </x:c>
      <x:c r="B40" s="95" t="str">
        <x:v>マルチケース</x:v>
      </x:c>
      <x:c r="C40" s="95" t="str">
        <x:v>生活雑貨</x:v>
      </x:c>
      <x:c r="D40" s="95" t="str">
        <x:v>自社EC</x:v>
      </x:c>
      <x:c r="E40" s="95" t="n">
        <x:v>15</x:v>
      </x:c>
      <x:c r="F40" s="96" t="n">
        <x:v>46183</x:v>
      </x:c>
      <x:c r="G40" s="96" t="n">
        <x:v>46098</x:v>
      </x:c>
      <x:c r="H40" s="95" t="n">
        <x:v>0</x:v>
      </x:c>
      <x:c r="I40" s="97" t="n">
        <x:v>7280</x:v>
      </x:c>
      <x:c r="J40" s="97" t="n">
        <x:v>4222</x:v>
      </x:c>
      <x:c r="K40" s="98" t="n">
        <x:v>0.035</x:v>
      </x:c>
      <x:c r="L40" s="97" t="n">
        <x:v>450</x:v>
      </x:c>
      <x:c r="M40" s="97" t="n">
        <x:v>40</x:v>
      </x:c>
      <x:c r="N40" s="99" t="n">
        <x:f>I40*K40</x:f>
        <x:v>254.8</x:v>
      </x:c>
      <x:c r="O40" s="99" t="n">
        <x:f>I40-J40-N40-L40-M40</x:f>
        <x:v>2313.2</x:v>
      </x:c>
      <x:c r="P40" s="100" t="n">
        <x:f>IFERROR(O40/I40,0)</x:f>
        <x:v>0.31774725274725274</x:v>
      </x:c>
      <x:c r="Q40" s="99" t="n">
        <x:f>H40*I40</x:f>
        <x:v>0</x:v>
      </x:c>
      <x:c r="R40" s="99" t="n">
        <x:f>H40*O40</x:f>
        <x:v>0</x:v>
      </x:c>
      <x:c r="S40" s="99" t="n">
        <x:f>'見本レポート'!$B$3-G40</x:f>
        <x:v>117</x:v>
      </x:c>
      <x:c r="T40" s="99" t="str">
        <x:f>IF(S40&gt;=90,"90日以上",IF(S40&gt;=60,"60-89日","59日以下"))</x:f>
        <x:v>90日以上</x:v>
      </x:c>
      <x:c r="U40" s="99" t="str">
        <x:f>IF(O40&lt;0,"赤字",IF(AND(S40&gt;=90,H40&lt;=2),"要見直し",IF(P40&lt;0.15,"低利益","通常")))</x:f>
        <x:v>要見直し</x:v>
      </x:c>
      <x:c r="V40" s="99" t="n">
        <x:f>IF(U40="赤字",100,0)+IF(S40&gt;=90,50,0)+IF(P40&lt;0.15,30,0)+IF(E40&gt;=15,10,0)</x:f>
        <x:v>60</x:v>
      </x:c>
      <x:c r="W40" s="101" t="str">
        <x:f>IF(U40="赤字","価格・原価・送料を再確認",IF(AND(S40&gt;=90,H40&lt;=2),"値下げ・再出品・仕入停止を検討",IF(P40&lt;0.15,"送料・手数料を見直す","継続観察")))</x:f>
        <x:v>値下げ・再出品・仕入停止を検討</x:v>
      </x:c>
    </x:row>
    <x:row r="41">
      <x:c r="A41" s="95" t="str">
        <x:v>SYN-037</x:v>
      </x:c>
      <x:c r="B41" s="95" t="str">
        <x:v>ハンドル付きバスケット</x:v>
      </x:c>
      <x:c r="C41" s="95" t="str">
        <x:v>服飾小物</x:v>
      </x:c>
      <x:c r="D41" s="95" t="str">
        <x:v>モールA</x:v>
      </x:c>
      <x:c r="E41" s="95" t="n">
        <x:v>22</x:v>
      </x:c>
      <x:c r="F41" s="96" t="n">
        <x:v>46170</x:v>
      </x:c>
      <x:c r="G41" s="96" t="n">
        <x:v>46205</x:v>
      </x:c>
      <x:c r="H41" s="95" t="n">
        <x:v>15</x:v>
      </x:c>
      <x:c r="I41" s="97" t="n">
        <x:v>2510</x:v>
      </x:c>
      <x:c r="J41" s="97" t="n">
        <x:v>1255</x:v>
      </x:c>
      <x:c r="K41" s="98" t="n">
        <x:v>0.12</x:v>
      </x:c>
      <x:c r="L41" s="97" t="n">
        <x:v>600</x:v>
      </x:c>
      <x:c r="M41" s="97" t="n">
        <x:v>70</x:v>
      </x:c>
      <x:c r="N41" s="99" t="n">
        <x:f>I41*K41</x:f>
        <x:v>301.2</x:v>
      </x:c>
      <x:c r="O41" s="99" t="n">
        <x:f>I41-J41-N41-L41-M41</x:f>
        <x:v>283.79999999999995</x:v>
      </x:c>
      <x:c r="P41" s="100" t="n">
        <x:f>IFERROR(O41/I41,0)</x:f>
        <x:v>0.11306772908366532</x:v>
      </x:c>
      <x:c r="Q41" s="99" t="n">
        <x:f>H41*I41</x:f>
        <x:v>37650</x:v>
      </x:c>
      <x:c r="R41" s="99" t="n">
        <x:f>H41*O41</x:f>
        <x:v>4256.999999999999</x:v>
      </x:c>
      <x:c r="S41" s="99" t="n">
        <x:f>'見本レポート'!$B$3-G41</x:f>
        <x:v>10</x:v>
      </x:c>
      <x:c r="T41" s="99" t="str">
        <x:f>IF(S41&gt;=90,"90日以上",IF(S41&gt;=60,"60-89日","59日以下"))</x:f>
        <x:v>59日以下</x:v>
      </x:c>
      <x:c r="U41" s="99" t="str">
        <x:f>IF(O41&lt;0,"赤字",IF(AND(S41&gt;=90,H41&lt;=2),"要見直し",IF(P41&lt;0.15,"低利益","通常")))</x:f>
        <x:v>低利益</x:v>
      </x:c>
      <x:c r="V41" s="99" t="n">
        <x:f>IF(U41="赤字",100,0)+IF(S41&gt;=90,50,0)+IF(P41&lt;0.15,30,0)+IF(E41&gt;=15,10,0)</x:f>
        <x:v>40</x:v>
      </x:c>
      <x:c r="W41" s="101" t="str">
        <x:f>IF(U41="赤字","価格・原価・送料を再確認",IF(AND(S41&gt;=90,H41&lt;=2),"値下げ・再出品・仕入停止を検討",IF(P41&lt;0.15,"送料・手数料を見直す","継続観察")))</x:f>
        <x:v>送料・手数料を見直す</x:v>
      </x:c>
    </x:row>
    <x:row r="42">
      <x:c r="A42" s="95" t="str">
        <x:v>SYN-038</x:v>
      </x:c>
      <x:c r="B42" s="95" t="str">
        <x:v>シューズバッグ</x:v>
      </x:c>
      <x:c r="C42" s="95" t="str">
        <x:v>アウトドア</x:v>
      </x:c>
      <x:c r="D42" s="95" t="str">
        <x:v>モールB</x:v>
      </x:c>
      <x:c r="E42" s="95" t="n">
        <x:v>5</x:v>
      </x:c>
      <x:c r="F42" s="96" t="n">
        <x:v>46157</x:v>
      </x:c>
      <x:c r="G42" s="96" t="n">
        <x:v>46188</x:v>
      </x:c>
      <x:c r="H42" s="95" t="n">
        <x:v>12</x:v>
      </x:c>
      <x:c r="I42" s="97" t="n">
        <x:v>2940</x:v>
      </x:c>
      <x:c r="J42" s="97" t="n">
        <x:v>1235</x:v>
      </x:c>
      <x:c r="K42" s="98" t="n">
        <x:v>0.1</x:v>
      </x:c>
      <x:c r="L42" s="97" t="n">
        <x:v>850</x:v>
      </x:c>
      <x:c r="M42" s="97" t="n">
        <x:v>100</x:v>
      </x:c>
      <x:c r="N42" s="99" t="n">
        <x:f>I42*K42</x:f>
        <x:v>294</x:v>
      </x:c>
      <x:c r="O42" s="99" t="n">
        <x:f>I42-J42-N42-L42-M42</x:f>
        <x:v>461</x:v>
      </x:c>
      <x:c r="P42" s="100" t="n">
        <x:f>IFERROR(O42/I42,0)</x:f>
        <x:v>0.15680272108843538</x:v>
      </x:c>
      <x:c r="Q42" s="99" t="n">
        <x:f>H42*I42</x:f>
        <x:v>35280</x:v>
      </x:c>
      <x:c r="R42" s="99" t="n">
        <x:f>H42*O42</x:f>
        <x:v>5532</x:v>
      </x:c>
      <x:c r="S42" s="99" t="n">
        <x:f>'見本レポート'!$B$3-G42</x:f>
        <x:v>27</x:v>
      </x:c>
      <x:c r="T42" s="99" t="str">
        <x:f>IF(S42&gt;=90,"90日以上",IF(S42&gt;=60,"60-89日","59日以下"))</x:f>
        <x:v>59日以下</x:v>
      </x:c>
      <x:c r="U42" s="99" t="str">
        <x:f>IF(O42&lt;0,"赤字",IF(AND(S42&gt;=90,H42&lt;=2),"要見直し",IF(P42&lt;0.15,"低利益","通常")))</x:f>
        <x:v>通常</x:v>
      </x:c>
      <x:c r="V42" s="99" t="n">
        <x:f>IF(U42="赤字",100,0)+IF(S42&gt;=90,50,0)+IF(P42&lt;0.15,30,0)+IF(E42&gt;=15,10,0)</x:f>
        <x:v>0</x:v>
      </x:c>
      <x:c r="W42" s="101" t="str">
        <x:f>IF(U42="赤字","価格・原価・送料を再確認",IF(AND(S42&gt;=90,H42&lt;=2),"値下げ・再出品・仕入停止を検討",IF(P42&lt;0.15,"送料・手数料を見直す","継続観察")))</x:f>
        <x:v>継続観察</x:v>
      </x:c>
    </x:row>
    <x:row r="43">
      <x:c r="A43" s="95" t="str">
        <x:v>SYN-039</x:v>
      </x:c>
      <x:c r="B43" s="95" t="str">
        <x:v>ミニ観葉ポット</x:v>
      </x:c>
      <x:c r="C43" s="95" t="str">
        <x:v>ホビー</x:v>
      </x:c>
      <x:c r="D43" s="95" t="str">
        <x:v>自社EC</x:v>
      </x:c>
      <x:c r="E43" s="95" t="n">
        <x:v>12</x:v>
      </x:c>
      <x:c r="F43" s="96" t="n">
        <x:v>46144</x:v>
      </x:c>
      <x:c r="G43" s="96" t="n">
        <x:v>46171</x:v>
      </x:c>
      <x:c r="H43" s="95" t="n">
        <x:v>0</x:v>
      </x:c>
      <x:c r="I43" s="97" t="n">
        <x:v>3370</x:v>
      </x:c>
      <x:c r="J43" s="97" t="n">
        <x:v>1247</x:v>
      </x:c>
      <x:c r="K43" s="98" t="n">
        <x:v>0.035</x:v>
      </x:c>
      <x:c r="L43" s="97" t="n">
        <x:v>1050</x:v>
      </x:c>
      <x:c r="M43" s="97" t="n">
        <x:v>130</x:v>
      </x:c>
      <x:c r="N43" s="99" t="n">
        <x:f>I43*K43</x:f>
        <x:v>117.95000000000002</x:v>
      </x:c>
      <x:c r="O43" s="99" t="n">
        <x:f>I43-J43-N43-L43-M43</x:f>
        <x:v>825.05</x:v>
      </x:c>
      <x:c r="P43" s="100" t="n">
        <x:f>IFERROR(O43/I43,0)</x:f>
        <x:v>0.24482195845697327</x:v>
      </x:c>
      <x:c r="Q43" s="99" t="n">
        <x:f>H43*I43</x:f>
        <x:v>0</x:v>
      </x:c>
      <x:c r="R43" s="99" t="n">
        <x:f>H43*O43</x:f>
        <x:v>0</x:v>
      </x:c>
      <x:c r="S43" s="99" t="n">
        <x:f>'見本レポート'!$B$3-G43</x:f>
        <x:v>44</x:v>
      </x:c>
      <x:c r="T43" s="99" t="str">
        <x:f>IF(S43&gt;=90,"90日以上",IF(S43&gt;=60,"60-89日","59日以下"))</x:f>
        <x:v>59日以下</x:v>
      </x:c>
      <x:c r="U43" s="99" t="str">
        <x:f>IF(O43&lt;0,"赤字",IF(AND(S43&gt;=90,H43&lt;=2),"要見直し",IF(P43&lt;0.15,"低利益","通常")))</x:f>
        <x:v>通常</x:v>
      </x:c>
      <x:c r="V43" s="99" t="n">
        <x:f>IF(U43="赤字",100,0)+IF(S43&gt;=90,50,0)+IF(P43&lt;0.15,30,0)+IF(E43&gt;=15,10,0)</x:f>
        <x:v>0</x:v>
      </x:c>
      <x:c r="W43" s="101" t="str">
        <x:f>IF(U43="赤字","価格・原価・送料を再確認",IF(AND(S43&gt;=90,H43&lt;=2),"値下げ・再出品・仕入停止を検討",IF(P43&lt;0.15,"送料・手数料を見直す","継続観察")))</x:f>
        <x:v>継続観察</x:v>
      </x:c>
    </x:row>
    <x:row r="44">
      <x:c r="A44" s="95" t="str">
        <x:v>SYN-040</x:v>
      </x:c>
      <x:c r="B44" s="95" t="str">
        <x:v>ペット用おもちゃ</x:v>
      </x:c>
      <x:c r="C44" s="95" t="str">
        <x:v>インテリア</x:v>
      </x:c>
      <x:c r="D44" s="95" t="str">
        <x:v>モールA</x:v>
      </x:c>
      <x:c r="E44" s="95" t="n">
        <x:v>19</x:v>
      </x:c>
      <x:c r="F44" s="96" t="n">
        <x:v>46131</x:v>
      </x:c>
      <x:c r="G44" s="96" t="n">
        <x:v>46154</x:v>
      </x:c>
      <x:c r="H44" s="95" t="n">
        <x:v>0</x:v>
      </x:c>
      <x:c r="I44" s="97" t="n">
        <x:v>3800</x:v>
      </x:c>
      <x:c r="J44" s="97" t="n">
        <x:v>2584</x:v>
      </x:c>
      <x:c r="K44" s="98" t="n">
        <x:v>0.12</x:v>
      </x:c>
      <x:c r="L44" s="97" t="n">
        <x:v>300</x:v>
      </x:c>
      <x:c r="M44" s="97" t="n">
        <x:v>0</x:v>
      </x:c>
      <x:c r="N44" s="99" t="n">
        <x:f>I44*K44</x:f>
        <x:v>456</x:v>
      </x:c>
      <x:c r="O44" s="99" t="n">
        <x:f>I44-J44-N44-L44-M44</x:f>
        <x:v>460</x:v>
      </x:c>
      <x:c r="P44" s="100" t="n">
        <x:f>IFERROR(O44/I44,0)</x:f>
        <x:v>0.12105263157894737</x:v>
      </x:c>
      <x:c r="Q44" s="99" t="n">
        <x:f>H44*I44</x:f>
        <x:v>0</x:v>
      </x:c>
      <x:c r="R44" s="99" t="n">
        <x:f>H44*O44</x:f>
        <x:v>0</x:v>
      </x:c>
      <x:c r="S44" s="99" t="n">
        <x:f>'見本レポート'!$B$3-G44</x:f>
        <x:v>61</x:v>
      </x:c>
      <x:c r="T44" s="99" t="str">
        <x:f>IF(S44&gt;=90,"90日以上",IF(S44&gt;=60,"60-89日","59日以下"))</x:f>
        <x:v>60-89日</x:v>
      </x:c>
      <x:c r="U44" s="99" t="str">
        <x:f>IF(O44&lt;0,"赤字",IF(AND(S44&gt;=90,H44&lt;=2),"要見直し",IF(P44&lt;0.15,"低利益","通常")))</x:f>
        <x:v>低利益</x:v>
      </x:c>
      <x:c r="V44" s="99" t="n">
        <x:f>IF(U44="赤字",100,0)+IF(S44&gt;=90,50,0)+IF(P44&lt;0.15,30,0)+IF(E44&gt;=15,10,0)</x:f>
        <x:v>40</x:v>
      </x:c>
      <x:c r="W44" s="101" t="str">
        <x:f>IF(U44="赤字","価格・原価・送料を再確認",IF(AND(S44&gt;=90,H44&lt;=2),"値下げ・再出品・仕入停止を検討",IF(P44&lt;0.15,"送料・手数料を見直す","継続観察")))</x:f>
        <x:v>送料・手数料を見直す</x:v>
      </x:c>
    </x:row>
  </x:sheetData>
  <x:mergeCells>
    <x:mergeCell ref="A1:W1"/>
    <x:mergeCell ref="A2:W2"/>
    <x:mergeCell ref="D3:W3"/>
  </x:mergeCells>
  <x:conditionalFormatting sqref="O5:O44">
    <x:cfRule type="cellIs" dxfId="1" priority="1" operator="lessThan">
      <x:formula>0</x:formula>
    </x:cfRule>
  </x:conditionalFormatting>
  <x:conditionalFormatting sqref="S5:S44">
    <x:cfRule type="cellIs" dxfId="2" priority="2" operator="greaterThanOrEqual">
      <x:formula>90</x:formula>
    </x:cfRule>
  </x:conditionalFormatting>
  <x:conditionalFormatting sqref="U5:U44">
    <x:cfRule type="containsText" dxfId="3" priority="3" operator="containsText" text="赤字"/>
  </x:conditionalFormatting>
  <x:pageMargins left="0.7" right="0.7" top="0.75" bottom="0.75" header="0.3" footer="0.3"/>
  <x:tableParts count="1">
    <x:tablePart xmlns:r="http://schemas.openxmlformats.org/officeDocument/2006/relationships" r:id="R08a67a808b2b4d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4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1" hidden="0" customWidth="1"/>
    <x:col min="11" max="11" width="10" hidden="0" customWidth="1"/>
    <x:col min="12" max="12" width="11" hidden="0" customWidth="1"/>
    <x:col min="13" max="13" width="14" hidden="0" customWidth="1"/>
    <x:col min="14" max="14" width="11" hidden="0" customWidth="1"/>
    <x:col min="15" max="15" width="13" hidden="0" customWidth="1"/>
    <x:col min="16" max="16" width="11" hidden="0" customWidth="1"/>
    <x:col min="17" max="17" width="13" hidden="0" customWidth="1"/>
    <x:col min="18" max="18" width="15" hidden="0" customWidth="1"/>
    <x:col min="19" max="19" width="10" hidden="0" customWidth="1"/>
    <x:col min="20" max="20" width="12" hidden="0" customWidth="1"/>
    <x:col min="21" max="21" width="11" hidden="0" customWidth="1"/>
    <x:col min="22" max="22" width="10" hidden="0" customWidth="1"/>
    <x:col min="23" max="23" width="31" hidden="0" customWidth="1"/>
  </x:cols>
  <x:sheetData>
    <x:row r="1" ht="28" customHeight="1">
      <x:c r="A1" s="3" t="str">
        <x:v>入力テンプレート｜有料PoCで受け取る匿名化済みデータ</x:v>
      </x:c>
      <x:c r="B1" s="3" t="str">
        <x:v>入力テンプレート｜有料PoCで受け取る匿名化済みデータ</x:v>
      </x:c>
      <x:c r="C1" s="3" t="str">
        <x:v>入力テンプレート｜有料PoCで受け取る匿名化済みデータ</x:v>
      </x:c>
      <x:c r="D1" s="3" t="str">
        <x:v>入力テンプレート｜有料PoCで受け取る匿名化済みデータ</x:v>
      </x:c>
      <x:c r="E1" s="3" t="str">
        <x:v>入力テンプレート｜有料PoCで受け取る匿名化済みデータ</x:v>
      </x:c>
      <x:c r="F1" s="3" t="str">
        <x:v>入力テンプレート｜有料PoCで受け取る匿名化済みデータ</x:v>
      </x:c>
      <x:c r="G1" s="3" t="str">
        <x:v>入力テンプレート｜有料PoCで受け取る匿名化済みデータ</x:v>
      </x:c>
      <x:c r="H1" s="3" t="str">
        <x:v>入力テンプレート｜有料PoCで受け取る匿名化済みデータ</x:v>
      </x:c>
      <x:c r="I1" s="3" t="str">
        <x:v>入力テンプレート｜有料PoCで受け取る匿名化済みデータ</x:v>
      </x:c>
      <x:c r="J1" s="3" t="str">
        <x:v>入力テンプレート｜有料PoCで受け取る匿名化済みデータ</x:v>
      </x:c>
      <x:c r="K1" s="3" t="str">
        <x:v>入力テンプレート｜有料PoCで受け取る匿名化済みデータ</x:v>
      </x:c>
      <x:c r="L1" s="3" t="str">
        <x:v>入力テンプレート｜有料PoCで受け取る匿名化済みデータ</x:v>
      </x:c>
      <x:c r="M1" s="3" t="str">
        <x:v>入力テンプレート｜有料PoCで受け取る匿名化済みデータ</x:v>
      </x:c>
      <x:c r="N1" s="3" t="str">
        <x:v>入力テンプレート｜有料PoCで受け取る匿名化済みデータ</x:v>
      </x:c>
      <x:c r="O1" s="3" t="str">
        <x:v>入力テンプレート｜有料PoCで受け取る匿名化済みデータ</x:v>
      </x:c>
      <x:c r="P1" s="3" t="str">
        <x:v>入力テンプレート｜有料PoCで受け取る匿名化済みデータ</x:v>
      </x:c>
      <x:c r="Q1" s="3" t="str">
        <x:v>入力テンプレート｜有料PoCで受け取る匿名化済みデータ</x:v>
      </x:c>
      <x:c r="R1" s="3" t="str">
        <x:v>入力テンプレート｜有料PoCで受け取る匿名化済みデータ</x:v>
      </x:c>
      <x:c r="S1" s="3" t="str">
        <x:v>入力テンプレート｜有料PoCで受け取る匿名化済みデータ</x:v>
      </x:c>
      <x:c r="T1" s="3" t="str">
        <x:v>入力テンプレート｜有料PoCで受け取る匿名化済みデータ</x:v>
      </x:c>
      <x:c r="U1" s="3" t="str">
        <x:v>入力テンプレート｜有料PoCで受け取る匿名化済みデータ</x:v>
      </x:c>
      <x:c r="V1" s="3" t="str">
        <x:v>入力テンプレート｜有料PoCで受け取る匿名化済みデータ</x:v>
      </x:c>
      <x:c r="W1" s="3" t="str">
        <x:v>入力テンプレート｜有料PoCで受け取る匿名化済みデータ</x:v>
      </x:c>
    </x:row>
    <x:row r="2" ht="24" customHeight="1">
      <x:c r="A2" t="str">
        <x:v>基準日</x:v>
      </x:c>
      <x:c r="B2" s="29" t="n">
        <x:v>46215</x:v>
      </x:c>
      <x:c r="D2" s="77" t="str">
        <x:v>入力するのは黄色の列だけです。買主名・住所・メール・電話・注文番号・ログイン情報は入力しないでください。</x:v>
      </x:c>
    </x:row>
    <x:row r="4" ht="34" customHeight="1">
      <x:c r="A4" s="79" t="str">
        <x:v>SKU</x:v>
      </x:c>
      <x:c r="B4" s="79" t="str">
        <x:v>商品名</x:v>
      </x:c>
      <x:c r="C4" s="79" t="str">
        <x:v>カテゴリ</x:v>
      </x:c>
      <x:c r="D4" s="79" t="str">
        <x:v>販路</x:v>
      </x:c>
      <x:c r="E4" s="79" t="str">
        <x:v>在庫数</x:v>
      </x:c>
      <x:c r="F4" s="79" t="str">
        <x:v>最古在庫の入庫日（任意）</x:v>
      </x:c>
      <x:c r="G4" s="79" t="str">
        <x:v>最終販売日</x:v>
      </x:c>
      <x:c r="H4" s="79" t="str">
        <x:v>直近30日販売数</x:v>
      </x:c>
      <x:c r="I4" s="79" t="str">
        <x:v>販売単価</x:v>
      </x:c>
      <x:c r="J4" s="79" t="str">
        <x:v>原価</x:v>
      </x:c>
      <x:c r="K4" s="79" t="str">
        <x:v>手数料率</x:v>
      </x:c>
      <x:c r="L4" s="79" t="str">
        <x:v>送料/件</x:v>
      </x:c>
      <x:c r="M4" s="79" t="str">
        <x:v>変動広告費/件</x:v>
      </x:c>
      <x:c r="N4" s="79" t="str">
        <x:v>手数料/件</x:v>
      </x:c>
      <x:c r="O4" s="79" t="str">
        <x:v>貢献利益/件</x:v>
      </x:c>
      <x:c r="P4" s="79" t="str">
        <x:v>貢献利益率</x:v>
      </x:c>
      <x:c r="Q4" s="79" t="str">
        <x:v>直近30日売上</x:v>
      </x:c>
      <x:c r="R4" s="79" t="str">
        <x:v>直近30日貢献利益</x:v>
      </x:c>
      <x:c r="S4" s="79" t="str">
        <x:v>最終販売からの日数</x:v>
      </x:c>
      <x:c r="T4" s="79" t="str">
        <x:v>滞留区分</x:v>
      </x:c>
      <x:c r="U4" s="79" t="str">
        <x:v>判定</x:v>
      </x:c>
      <x:c r="V4" s="79" t="str">
        <x:v>優先度</x:v>
      </x:c>
      <x:c r="W4" s="79" t="str">
        <x:v>推奨アクション</x:v>
      </x:c>
    </x:row>
    <x:row r="5">
      <x:c r="A5" s="95"/>
      <x:c r="B5" s="95"/>
      <x:c r="C5" s="95"/>
      <x:c r="D5" s="95"/>
      <x:c r="E5" s="95"/>
      <x:c r="F5" s="96"/>
      <x:c r="G5" s="96"/>
      <x:c r="H5" s="95"/>
      <x:c r="I5" s="97"/>
      <x:c r="J5" s="97"/>
      <x:c r="K5" s="98"/>
      <x:c r="L5" s="97"/>
      <x:c r="M5" s="97"/>
      <x:c r="N5" s="99" t="str">
        <x:f>IF(OR(I5="",K5=""),"",I5*K5)</x:f>
      </x:c>
      <x:c r="O5" s="99" t="str">
        <x:f>IF(OR(I5="",J5="",N5="",L5="",M5=""),"",I5-J5-N5-L5-M5)</x:f>
      </x:c>
      <x:c r="P5" s="100" t="str">
        <x:f>IFERROR(O5/I5,"")</x:f>
      </x:c>
      <x:c r="Q5" s="99" t="str">
        <x:f>IF(OR(H5="",I5=""),"",H5*I5)</x:f>
      </x:c>
      <x:c r="R5" s="99" t="str">
        <x:f>IF(OR(H5="",O5=""),"",H5*O5)</x:f>
      </x:c>
      <x:c r="S5" s="99" t="str">
        <x:f>IF(G5="","",$B$2-G5)</x:f>
      </x:c>
      <x:c r="T5" s="99" t="str">
        <x:f>IF(S5="","",IF(S5&gt;=90,"90日以上",IF(S5&gt;=60,"60-89日","59日以下")))</x:f>
      </x:c>
      <x:c r="U5" s="99" t="str">
        <x:f>IF(O5="","",IF(O5&lt;0,"赤字",IF(AND(S5&gt;=90,H5&lt;=2),"要見直し",IF(P5&lt;0.15,"低利益","通常"))))</x:f>
      </x:c>
      <x:c r="V5" s="99" t="str">
        <x:f>IF(U5="","",IF(U5="赤字",100,0)+IF(S5&gt;=90,50,0)+IF(P5&lt;0.15,30,0)+IF(E5&gt;=15,10,0))</x:f>
      </x:c>
      <x:c r="W5" s="101" t="str">
        <x:f>IF(U5="","",IF(U5="赤字","価格・原価・送料を再確認",IF(AND(S5&gt;=90,H5&lt;=2),"値下げ・再出品・仕入停止を検討",IF(P5&lt;0.15,"送料・手数料を見直す","継続観察"))))</x:f>
      </x:c>
    </x:row>
    <x:row r="6">
      <x:c r="A6" s="95"/>
      <x:c r="B6" s="95"/>
      <x:c r="C6" s="95"/>
      <x:c r="D6" s="95"/>
      <x:c r="E6" s="95"/>
      <x:c r="F6" s="96"/>
      <x:c r="G6" s="96"/>
      <x:c r="H6" s="95"/>
      <x:c r="I6" s="97"/>
      <x:c r="J6" s="97"/>
      <x:c r="K6" s="98"/>
      <x:c r="L6" s="97"/>
      <x:c r="M6" s="97"/>
      <x:c r="N6" s="99" t="str">
        <x:f>IF(OR(I6="",K6=""),"",I6*K6)</x:f>
      </x:c>
      <x:c r="O6" s="99" t="str">
        <x:f>IF(OR(I6="",J6="",N6="",L6="",M6=""),"",I6-J6-N6-L6-M6)</x:f>
      </x:c>
      <x:c r="P6" s="100" t="str">
        <x:f>IFERROR(O6/I6,"")</x:f>
      </x:c>
      <x:c r="Q6" s="99" t="str">
        <x:f>IF(OR(H6="",I6=""),"",H6*I6)</x:f>
      </x:c>
      <x:c r="R6" s="99" t="str">
        <x:f>IF(OR(H6="",O6=""),"",H6*O6)</x:f>
      </x:c>
      <x:c r="S6" s="99" t="str">
        <x:f>IF(G6="","",$B$2-G6)</x:f>
      </x:c>
      <x:c r="T6" s="99" t="str">
        <x:f>IF(S6="","",IF(S6&gt;=90,"90日以上",IF(S6&gt;=60,"60-89日","59日以下")))</x:f>
      </x:c>
      <x:c r="U6" s="99" t="str">
        <x:f>IF(O6="","",IF(O6&lt;0,"赤字",IF(AND(S6&gt;=90,H6&lt;=2),"要見直し",IF(P6&lt;0.15,"低利益","通常"))))</x:f>
      </x:c>
      <x:c r="V6" s="99" t="str">
        <x:f>IF(U6="","",IF(U6="赤字",100,0)+IF(S6&gt;=90,50,0)+IF(P6&lt;0.15,30,0)+IF(E6&gt;=15,10,0))</x:f>
      </x:c>
      <x:c r="W6" s="101" t="str">
        <x:f>IF(U6="","",IF(U6="赤字","価格・原価・送料を再確認",IF(AND(S6&gt;=90,H6&lt;=2),"値下げ・再出品・仕入停止を検討",IF(P6&lt;0.15,"送料・手数料を見直す","継続観察"))))</x:f>
      </x:c>
    </x:row>
    <x:row r="7">
      <x:c r="A7" s="95"/>
      <x:c r="B7" s="95"/>
      <x:c r="C7" s="95"/>
      <x:c r="D7" s="95"/>
      <x:c r="E7" s="95"/>
      <x:c r="F7" s="96"/>
      <x:c r="G7" s="96"/>
      <x:c r="H7" s="95"/>
      <x:c r="I7" s="97"/>
      <x:c r="J7" s="97"/>
      <x:c r="K7" s="98"/>
      <x:c r="L7" s="97"/>
      <x:c r="M7" s="97"/>
      <x:c r="N7" s="99" t="str">
        <x:f>IF(OR(I7="",K7=""),"",I7*K7)</x:f>
      </x:c>
      <x:c r="O7" s="99" t="str">
        <x:f>IF(OR(I7="",J7="",N7="",L7="",M7=""),"",I7-J7-N7-L7-M7)</x:f>
      </x:c>
      <x:c r="P7" s="100" t="str">
        <x:f>IFERROR(O7/I7,"")</x:f>
      </x:c>
      <x:c r="Q7" s="99" t="str">
        <x:f>IF(OR(H7="",I7=""),"",H7*I7)</x:f>
      </x:c>
      <x:c r="R7" s="99" t="str">
        <x:f>IF(OR(H7="",O7=""),"",H7*O7)</x:f>
      </x:c>
      <x:c r="S7" s="99" t="str">
        <x:f>IF(G7="","",$B$2-G7)</x:f>
      </x:c>
      <x:c r="T7" s="99" t="str">
        <x:f>IF(S7="","",IF(S7&gt;=90,"90日以上",IF(S7&gt;=60,"60-89日","59日以下")))</x:f>
      </x:c>
      <x:c r="U7" s="99" t="str">
        <x:f>IF(O7="","",IF(O7&lt;0,"赤字",IF(AND(S7&gt;=90,H7&lt;=2),"要見直し",IF(P7&lt;0.15,"低利益","通常"))))</x:f>
      </x:c>
      <x:c r="V7" s="99" t="str">
        <x:f>IF(U7="","",IF(U7="赤字",100,0)+IF(S7&gt;=90,50,0)+IF(P7&lt;0.15,30,0)+IF(E7&gt;=15,10,0))</x:f>
      </x:c>
      <x:c r="W7" s="101" t="str">
        <x:f>IF(U7="","",IF(U7="赤字","価格・原価・送料を再確認",IF(AND(S7&gt;=90,H7&lt;=2),"値下げ・再出品・仕入停止を検討",IF(P7&lt;0.15,"送料・手数料を見直す","継続観察"))))</x:f>
      </x:c>
    </x:row>
    <x:row r="8">
      <x:c r="A8" s="95"/>
      <x:c r="B8" s="95"/>
      <x:c r="C8" s="95"/>
      <x:c r="D8" s="95"/>
      <x:c r="E8" s="95"/>
      <x:c r="F8" s="96"/>
      <x:c r="G8" s="96"/>
      <x:c r="H8" s="95"/>
      <x:c r="I8" s="97"/>
      <x:c r="J8" s="97"/>
      <x:c r="K8" s="98"/>
      <x:c r="L8" s="97"/>
      <x:c r="M8" s="97"/>
      <x:c r="N8" s="99" t="str">
        <x:f>IF(OR(I8="",K8=""),"",I8*K8)</x:f>
      </x:c>
      <x:c r="O8" s="99" t="str">
        <x:f>IF(OR(I8="",J8="",N8="",L8="",M8=""),"",I8-J8-N8-L8-M8)</x:f>
      </x:c>
      <x:c r="P8" s="100" t="str">
        <x:f>IFERROR(O8/I8,"")</x:f>
      </x:c>
      <x:c r="Q8" s="99" t="str">
        <x:f>IF(OR(H8="",I8=""),"",H8*I8)</x:f>
      </x:c>
      <x:c r="R8" s="99" t="str">
        <x:f>IF(OR(H8="",O8=""),"",H8*O8)</x:f>
      </x:c>
      <x:c r="S8" s="99" t="str">
        <x:f>IF(G8="","",$B$2-G8)</x:f>
      </x:c>
      <x:c r="T8" s="99" t="str">
        <x:f>IF(S8="","",IF(S8&gt;=90,"90日以上",IF(S8&gt;=60,"60-89日","59日以下")))</x:f>
      </x:c>
      <x:c r="U8" s="99" t="str">
        <x:f>IF(O8="","",IF(O8&lt;0,"赤字",IF(AND(S8&gt;=90,H8&lt;=2),"要見直し",IF(P8&lt;0.15,"低利益","通常"))))</x:f>
      </x:c>
      <x:c r="V8" s="99" t="str">
        <x:f>IF(U8="","",IF(U8="赤字",100,0)+IF(S8&gt;=90,50,0)+IF(P8&lt;0.15,30,0)+IF(E8&gt;=15,10,0))</x:f>
      </x:c>
      <x:c r="W8" s="101" t="str">
        <x:f>IF(U8="","",IF(U8="赤字","価格・原価・送料を再確認",IF(AND(S8&gt;=90,H8&lt;=2),"値下げ・再出品・仕入停止を検討",IF(P8&lt;0.15,"送料・手数料を見直す","継続観察"))))</x:f>
      </x:c>
    </x:row>
    <x:row r="9">
      <x:c r="A9" s="95"/>
      <x:c r="B9" s="95"/>
      <x:c r="C9" s="95"/>
      <x:c r="D9" s="95"/>
      <x:c r="E9" s="95"/>
      <x:c r="F9" s="96"/>
      <x:c r="G9" s="96"/>
      <x:c r="H9" s="95"/>
      <x:c r="I9" s="97"/>
      <x:c r="J9" s="97"/>
      <x:c r="K9" s="98"/>
      <x:c r="L9" s="97"/>
      <x:c r="M9" s="97"/>
      <x:c r="N9" s="99" t="str">
        <x:f>IF(OR(I9="",K9=""),"",I9*K9)</x:f>
      </x:c>
      <x:c r="O9" s="99" t="str">
        <x:f>IF(OR(I9="",J9="",N9="",L9="",M9=""),"",I9-J9-N9-L9-M9)</x:f>
      </x:c>
      <x:c r="P9" s="100" t="str">
        <x:f>IFERROR(O9/I9,"")</x:f>
      </x:c>
      <x:c r="Q9" s="99" t="str">
        <x:f>IF(OR(H9="",I9=""),"",H9*I9)</x:f>
      </x:c>
      <x:c r="R9" s="99" t="str">
        <x:f>IF(OR(H9="",O9=""),"",H9*O9)</x:f>
      </x:c>
      <x:c r="S9" s="99" t="str">
        <x:f>IF(G9="","",$B$2-G9)</x:f>
      </x:c>
      <x:c r="T9" s="99" t="str">
        <x:f>IF(S9="","",IF(S9&gt;=90,"90日以上",IF(S9&gt;=60,"60-89日","59日以下")))</x:f>
      </x:c>
      <x:c r="U9" s="99" t="str">
        <x:f>IF(O9="","",IF(O9&lt;0,"赤字",IF(AND(S9&gt;=90,H9&lt;=2),"要見直し",IF(P9&lt;0.15,"低利益","通常"))))</x:f>
      </x:c>
      <x:c r="V9" s="99" t="str">
        <x:f>IF(U9="","",IF(U9="赤字",100,0)+IF(S9&gt;=90,50,0)+IF(P9&lt;0.15,30,0)+IF(E9&gt;=15,10,0))</x:f>
      </x:c>
      <x:c r="W9" s="101" t="str">
        <x:f>IF(U9="","",IF(U9="赤字","価格・原価・送料を再確認",IF(AND(S9&gt;=90,H9&lt;=2),"値下げ・再出品・仕入停止を検討",IF(P9&lt;0.15,"送料・手数料を見直す","継続観察"))))</x:f>
      </x:c>
    </x:row>
    <x:row r="10">
      <x:c r="A10" s="95"/>
      <x:c r="B10" s="95"/>
      <x:c r="C10" s="95"/>
      <x:c r="D10" s="95"/>
      <x:c r="E10" s="95"/>
      <x:c r="F10" s="96"/>
      <x:c r="G10" s="96"/>
      <x:c r="H10" s="95"/>
      <x:c r="I10" s="97"/>
      <x:c r="J10" s="97"/>
      <x:c r="K10" s="98"/>
      <x:c r="L10" s="97"/>
      <x:c r="M10" s="97"/>
      <x:c r="N10" s="99" t="str">
        <x:f>IF(OR(I10="",K10=""),"",I10*K10)</x:f>
      </x:c>
      <x:c r="O10" s="99" t="str">
        <x:f>IF(OR(I10="",J10="",N10="",L10="",M10=""),"",I10-J10-N10-L10-M10)</x:f>
      </x:c>
      <x:c r="P10" s="100" t="str">
        <x:f>IFERROR(O10/I10,"")</x:f>
      </x:c>
      <x:c r="Q10" s="99" t="str">
        <x:f>IF(OR(H10="",I10=""),"",H10*I10)</x:f>
      </x:c>
      <x:c r="R10" s="99" t="str">
        <x:f>IF(OR(H10="",O10=""),"",H10*O10)</x:f>
      </x:c>
      <x:c r="S10" s="99" t="str">
        <x:f>IF(G10="","",$B$2-G10)</x:f>
      </x:c>
      <x:c r="T10" s="99" t="str">
        <x:f>IF(S10="","",IF(S10&gt;=90,"90日以上",IF(S10&gt;=60,"60-89日","59日以下")))</x:f>
      </x:c>
      <x:c r="U10" s="99" t="str">
        <x:f>IF(O10="","",IF(O10&lt;0,"赤字",IF(AND(S10&gt;=90,H10&lt;=2),"要見直し",IF(P10&lt;0.15,"低利益","通常"))))</x:f>
      </x:c>
      <x:c r="V10" s="99" t="str">
        <x:f>IF(U10="","",IF(U10="赤字",100,0)+IF(S10&gt;=90,50,0)+IF(P10&lt;0.15,30,0)+IF(E10&gt;=15,10,0))</x:f>
      </x:c>
      <x:c r="W10" s="101" t="str">
        <x:f>IF(U10="","",IF(U10="赤字","価格・原価・送料を再確認",IF(AND(S10&gt;=90,H10&lt;=2),"値下げ・再出品・仕入停止を検討",IF(P10&lt;0.15,"送料・手数料を見直す","継続観察"))))</x:f>
      </x:c>
    </x:row>
    <x:row r="11">
      <x:c r="A11" s="95"/>
      <x:c r="B11" s="95"/>
      <x:c r="C11" s="95"/>
      <x:c r="D11" s="95"/>
      <x:c r="E11" s="95"/>
      <x:c r="F11" s="96"/>
      <x:c r="G11" s="96"/>
      <x:c r="H11" s="95"/>
      <x:c r="I11" s="97"/>
      <x:c r="J11" s="97"/>
      <x:c r="K11" s="98"/>
      <x:c r="L11" s="97"/>
      <x:c r="M11" s="97"/>
      <x:c r="N11" s="99" t="str">
        <x:f>IF(OR(I11="",K11=""),"",I11*K11)</x:f>
      </x:c>
      <x:c r="O11" s="99" t="str">
        <x:f>IF(OR(I11="",J11="",N11="",L11="",M11=""),"",I11-J11-N11-L11-M11)</x:f>
      </x:c>
      <x:c r="P11" s="100" t="str">
        <x:f>IFERROR(O11/I11,"")</x:f>
      </x:c>
      <x:c r="Q11" s="99" t="str">
        <x:f>IF(OR(H11="",I11=""),"",H11*I11)</x:f>
      </x:c>
      <x:c r="R11" s="99" t="str">
        <x:f>IF(OR(H11="",O11=""),"",H11*O11)</x:f>
      </x:c>
      <x:c r="S11" s="99" t="str">
        <x:f>IF(G11="","",$B$2-G11)</x:f>
      </x:c>
      <x:c r="T11" s="99" t="str">
        <x:f>IF(S11="","",IF(S11&gt;=90,"90日以上",IF(S11&gt;=60,"60-89日","59日以下")))</x:f>
      </x:c>
      <x:c r="U11" s="99" t="str">
        <x:f>IF(O11="","",IF(O11&lt;0,"赤字",IF(AND(S11&gt;=90,H11&lt;=2),"要見直し",IF(P11&lt;0.15,"低利益","通常"))))</x:f>
      </x:c>
      <x:c r="V11" s="99" t="str">
        <x:f>IF(U11="","",IF(U11="赤字",100,0)+IF(S11&gt;=90,50,0)+IF(P11&lt;0.15,30,0)+IF(E11&gt;=15,10,0))</x:f>
      </x:c>
      <x:c r="W11" s="101" t="str">
        <x:f>IF(U11="","",IF(U11="赤字","価格・原価・送料を再確認",IF(AND(S11&gt;=90,H11&lt;=2),"値下げ・再出品・仕入停止を検討",IF(P11&lt;0.15,"送料・手数料を見直す","継続観察"))))</x:f>
      </x:c>
    </x:row>
    <x:row r="12">
      <x:c r="A12" s="95"/>
      <x:c r="B12" s="95"/>
      <x:c r="C12" s="95"/>
      <x:c r="D12" s="95"/>
      <x:c r="E12" s="95"/>
      <x:c r="F12" s="96"/>
      <x:c r="G12" s="96"/>
      <x:c r="H12" s="95"/>
      <x:c r="I12" s="97"/>
      <x:c r="J12" s="97"/>
      <x:c r="K12" s="98"/>
      <x:c r="L12" s="97"/>
      <x:c r="M12" s="97"/>
      <x:c r="N12" s="99" t="str">
        <x:f>IF(OR(I12="",K12=""),"",I12*K12)</x:f>
      </x:c>
      <x:c r="O12" s="99" t="str">
        <x:f>IF(OR(I12="",J12="",N12="",L12="",M12=""),"",I12-J12-N12-L12-M12)</x:f>
      </x:c>
      <x:c r="P12" s="100" t="str">
        <x:f>IFERROR(O12/I12,"")</x:f>
      </x:c>
      <x:c r="Q12" s="99" t="str">
        <x:f>IF(OR(H12="",I12=""),"",H12*I12)</x:f>
      </x:c>
      <x:c r="R12" s="99" t="str">
        <x:f>IF(OR(H12="",O12=""),"",H12*O12)</x:f>
      </x:c>
      <x:c r="S12" s="99" t="str">
        <x:f>IF(G12="","",$B$2-G12)</x:f>
      </x:c>
      <x:c r="T12" s="99" t="str">
        <x:f>IF(S12="","",IF(S12&gt;=90,"90日以上",IF(S12&gt;=60,"60-89日","59日以下")))</x:f>
      </x:c>
      <x:c r="U12" s="99" t="str">
        <x:f>IF(O12="","",IF(O12&lt;0,"赤字",IF(AND(S12&gt;=90,H12&lt;=2),"要見直し",IF(P12&lt;0.15,"低利益","通常"))))</x:f>
      </x:c>
      <x:c r="V12" s="99" t="str">
        <x:f>IF(U12="","",IF(U12="赤字",100,0)+IF(S12&gt;=90,50,0)+IF(P12&lt;0.15,30,0)+IF(E12&gt;=15,10,0))</x:f>
      </x:c>
      <x:c r="W12" s="101" t="str">
        <x:f>IF(U12="","",IF(U12="赤字","価格・原価・送料を再確認",IF(AND(S12&gt;=90,H12&lt;=2),"値下げ・再出品・仕入停止を検討",IF(P12&lt;0.15,"送料・手数料を見直す","継続観察"))))</x:f>
      </x:c>
    </x:row>
    <x:row r="13">
      <x:c r="A13" s="95"/>
      <x:c r="B13" s="95"/>
      <x:c r="C13" s="95"/>
      <x:c r="D13" s="95"/>
      <x:c r="E13" s="95"/>
      <x:c r="F13" s="96"/>
      <x:c r="G13" s="96"/>
      <x:c r="H13" s="95"/>
      <x:c r="I13" s="97"/>
      <x:c r="J13" s="97"/>
      <x:c r="K13" s="98"/>
      <x:c r="L13" s="97"/>
      <x:c r="M13" s="97"/>
      <x:c r="N13" s="99" t="str">
        <x:f>IF(OR(I13="",K13=""),"",I13*K13)</x:f>
      </x:c>
      <x:c r="O13" s="99" t="str">
        <x:f>IF(OR(I13="",J13="",N13="",L13="",M13=""),"",I13-J13-N13-L13-M13)</x:f>
      </x:c>
      <x:c r="P13" s="100" t="str">
        <x:f>IFERROR(O13/I13,"")</x:f>
      </x:c>
      <x:c r="Q13" s="99" t="str">
        <x:f>IF(OR(H13="",I13=""),"",H13*I13)</x:f>
      </x:c>
      <x:c r="R13" s="99" t="str">
        <x:f>IF(OR(H13="",O13=""),"",H13*O13)</x:f>
      </x:c>
      <x:c r="S13" s="99" t="str">
        <x:f>IF(G13="","",$B$2-G13)</x:f>
      </x:c>
      <x:c r="T13" s="99" t="str">
        <x:f>IF(S13="","",IF(S13&gt;=90,"90日以上",IF(S13&gt;=60,"60-89日","59日以下")))</x:f>
      </x:c>
      <x:c r="U13" s="99" t="str">
        <x:f>IF(O13="","",IF(O13&lt;0,"赤字",IF(AND(S13&gt;=90,H13&lt;=2),"要見直し",IF(P13&lt;0.15,"低利益","通常"))))</x:f>
      </x:c>
      <x:c r="V13" s="99" t="str">
        <x:f>IF(U13="","",IF(U13="赤字",100,0)+IF(S13&gt;=90,50,0)+IF(P13&lt;0.15,30,0)+IF(E13&gt;=15,10,0))</x:f>
      </x:c>
      <x:c r="W13" s="101" t="str">
        <x:f>IF(U13="","",IF(U13="赤字","価格・原価・送料を再確認",IF(AND(S13&gt;=90,H13&lt;=2),"値下げ・再出品・仕入停止を検討",IF(P13&lt;0.15,"送料・手数料を見直す","継続観察"))))</x:f>
      </x:c>
    </x:row>
    <x:row r="14">
      <x:c r="A14" s="95"/>
      <x:c r="B14" s="95"/>
      <x:c r="C14" s="95"/>
      <x:c r="D14" s="95"/>
      <x:c r="E14" s="95"/>
      <x:c r="F14" s="96"/>
      <x:c r="G14" s="96"/>
      <x:c r="H14" s="95"/>
      <x:c r="I14" s="97"/>
      <x:c r="J14" s="97"/>
      <x:c r="K14" s="98"/>
      <x:c r="L14" s="97"/>
      <x:c r="M14" s="97"/>
      <x:c r="N14" s="99" t="str">
        <x:f>IF(OR(I14="",K14=""),"",I14*K14)</x:f>
      </x:c>
      <x:c r="O14" s="99" t="str">
        <x:f>IF(OR(I14="",J14="",N14="",L14="",M14=""),"",I14-J14-N14-L14-M14)</x:f>
      </x:c>
      <x:c r="P14" s="100" t="str">
        <x:f>IFERROR(O14/I14,"")</x:f>
      </x:c>
      <x:c r="Q14" s="99" t="str">
        <x:f>IF(OR(H14="",I14=""),"",H14*I14)</x:f>
      </x:c>
      <x:c r="R14" s="99" t="str">
        <x:f>IF(OR(H14="",O14=""),"",H14*O14)</x:f>
      </x:c>
      <x:c r="S14" s="99" t="str">
        <x:f>IF(G14="","",$B$2-G14)</x:f>
      </x:c>
      <x:c r="T14" s="99" t="str">
        <x:f>IF(S14="","",IF(S14&gt;=90,"90日以上",IF(S14&gt;=60,"60-89日","59日以下")))</x:f>
      </x:c>
      <x:c r="U14" s="99" t="str">
        <x:f>IF(O14="","",IF(O14&lt;0,"赤字",IF(AND(S14&gt;=90,H14&lt;=2),"要見直し",IF(P14&lt;0.15,"低利益","通常"))))</x:f>
      </x:c>
      <x:c r="V14" s="99" t="str">
        <x:f>IF(U14="","",IF(U14="赤字",100,0)+IF(S14&gt;=90,50,0)+IF(P14&lt;0.15,30,0)+IF(E14&gt;=15,10,0))</x:f>
      </x:c>
      <x:c r="W14" s="101" t="str">
        <x:f>IF(U14="","",IF(U14="赤字","価格・原価・送料を再確認",IF(AND(S14&gt;=90,H14&lt;=2),"値下げ・再出品・仕入停止を検討",IF(P14&lt;0.15,"送料・手数料を見直す","継続観察"))))</x:f>
      </x:c>
    </x:row>
    <x:row r="15">
      <x:c r="A15" s="95"/>
      <x:c r="B15" s="95"/>
      <x:c r="C15" s="95"/>
      <x:c r="D15" s="95"/>
      <x:c r="E15" s="95"/>
      <x:c r="F15" s="96"/>
      <x:c r="G15" s="96"/>
      <x:c r="H15" s="95"/>
      <x:c r="I15" s="97"/>
      <x:c r="J15" s="97"/>
      <x:c r="K15" s="98"/>
      <x:c r="L15" s="97"/>
      <x:c r="M15" s="97"/>
      <x:c r="N15" s="99" t="str">
        <x:f>IF(OR(I15="",K15=""),"",I15*K15)</x:f>
      </x:c>
      <x:c r="O15" s="99" t="str">
        <x:f>IF(OR(I15="",J15="",N15="",L15="",M15=""),"",I15-J15-N15-L15-M15)</x:f>
      </x:c>
      <x:c r="P15" s="100" t="str">
        <x:f>IFERROR(O15/I15,"")</x:f>
      </x:c>
      <x:c r="Q15" s="99" t="str">
        <x:f>IF(OR(H15="",I15=""),"",H15*I15)</x:f>
      </x:c>
      <x:c r="R15" s="99" t="str">
        <x:f>IF(OR(H15="",O15=""),"",H15*O15)</x:f>
      </x:c>
      <x:c r="S15" s="99" t="str">
        <x:f>IF(G15="","",$B$2-G15)</x:f>
      </x:c>
      <x:c r="T15" s="99" t="str">
        <x:f>IF(S15="","",IF(S15&gt;=90,"90日以上",IF(S15&gt;=60,"60-89日","59日以下")))</x:f>
      </x:c>
      <x:c r="U15" s="99" t="str">
        <x:f>IF(O15="","",IF(O15&lt;0,"赤字",IF(AND(S15&gt;=90,H15&lt;=2),"要見直し",IF(P15&lt;0.15,"低利益","通常"))))</x:f>
      </x:c>
      <x:c r="V15" s="99" t="str">
        <x:f>IF(U15="","",IF(U15="赤字",100,0)+IF(S15&gt;=90,50,0)+IF(P15&lt;0.15,30,0)+IF(E15&gt;=15,10,0))</x:f>
      </x:c>
      <x:c r="W15" s="101" t="str">
        <x:f>IF(U15="","",IF(U15="赤字","価格・原価・送料を再確認",IF(AND(S15&gt;=90,H15&lt;=2),"値下げ・再出品・仕入停止を検討",IF(P15&lt;0.15,"送料・手数料を見直す","継続観察"))))</x:f>
      </x:c>
    </x:row>
    <x:row r="16">
      <x:c r="A16" s="95"/>
      <x:c r="B16" s="95"/>
      <x:c r="C16" s="95"/>
      <x:c r="D16" s="95"/>
      <x:c r="E16" s="95"/>
      <x:c r="F16" s="96"/>
      <x:c r="G16" s="96"/>
      <x:c r="H16" s="95"/>
      <x:c r="I16" s="97"/>
      <x:c r="J16" s="97"/>
      <x:c r="K16" s="98"/>
      <x:c r="L16" s="97"/>
      <x:c r="M16" s="97"/>
      <x:c r="N16" s="99" t="str">
        <x:f>IF(OR(I16="",K16=""),"",I16*K16)</x:f>
      </x:c>
      <x:c r="O16" s="99" t="str">
        <x:f>IF(OR(I16="",J16="",N16="",L16="",M16=""),"",I16-J16-N16-L16-M16)</x:f>
      </x:c>
      <x:c r="P16" s="100" t="str">
        <x:f>IFERROR(O16/I16,"")</x:f>
      </x:c>
      <x:c r="Q16" s="99" t="str">
        <x:f>IF(OR(H16="",I16=""),"",H16*I16)</x:f>
      </x:c>
      <x:c r="R16" s="99" t="str">
        <x:f>IF(OR(H16="",O16=""),"",H16*O16)</x:f>
      </x:c>
      <x:c r="S16" s="99" t="str">
        <x:f>IF(G16="","",$B$2-G16)</x:f>
      </x:c>
      <x:c r="T16" s="99" t="str">
        <x:f>IF(S16="","",IF(S16&gt;=90,"90日以上",IF(S16&gt;=60,"60-89日","59日以下")))</x:f>
      </x:c>
      <x:c r="U16" s="99" t="str">
        <x:f>IF(O16="","",IF(O16&lt;0,"赤字",IF(AND(S16&gt;=90,H16&lt;=2),"要見直し",IF(P16&lt;0.15,"低利益","通常"))))</x:f>
      </x:c>
      <x:c r="V16" s="99" t="str">
        <x:f>IF(U16="","",IF(U16="赤字",100,0)+IF(S16&gt;=90,50,0)+IF(P16&lt;0.15,30,0)+IF(E16&gt;=15,10,0))</x:f>
      </x:c>
      <x:c r="W16" s="101" t="str">
        <x:f>IF(U16="","",IF(U16="赤字","価格・原価・送料を再確認",IF(AND(S16&gt;=90,H16&lt;=2),"値下げ・再出品・仕入停止を検討",IF(P16&lt;0.15,"送料・手数料を見直す","継続観察"))))</x:f>
      </x:c>
    </x:row>
    <x:row r="17">
      <x:c r="A17" s="95"/>
      <x:c r="B17" s="95"/>
      <x:c r="C17" s="95"/>
      <x:c r="D17" s="95"/>
      <x:c r="E17" s="95"/>
      <x:c r="F17" s="96"/>
      <x:c r="G17" s="96"/>
      <x:c r="H17" s="95"/>
      <x:c r="I17" s="97"/>
      <x:c r="J17" s="97"/>
      <x:c r="K17" s="98"/>
      <x:c r="L17" s="97"/>
      <x:c r="M17" s="97"/>
      <x:c r="N17" s="99" t="str">
        <x:f>IF(OR(I17="",K17=""),"",I17*K17)</x:f>
      </x:c>
      <x:c r="O17" s="99" t="str">
        <x:f>IF(OR(I17="",J17="",N17="",L17="",M17=""),"",I17-J17-N17-L17-M17)</x:f>
      </x:c>
      <x:c r="P17" s="100" t="str">
        <x:f>IFERROR(O17/I17,"")</x:f>
      </x:c>
      <x:c r="Q17" s="99" t="str">
        <x:f>IF(OR(H17="",I17=""),"",H17*I17)</x:f>
      </x:c>
      <x:c r="R17" s="99" t="str">
        <x:f>IF(OR(H17="",O17=""),"",H17*O17)</x:f>
      </x:c>
      <x:c r="S17" s="99" t="str">
        <x:f>IF(G17="","",$B$2-G17)</x:f>
      </x:c>
      <x:c r="T17" s="99" t="str">
        <x:f>IF(S17="","",IF(S17&gt;=90,"90日以上",IF(S17&gt;=60,"60-89日","59日以下")))</x:f>
      </x:c>
      <x:c r="U17" s="99" t="str">
        <x:f>IF(O17="","",IF(O17&lt;0,"赤字",IF(AND(S17&gt;=90,H17&lt;=2),"要見直し",IF(P17&lt;0.15,"低利益","通常"))))</x:f>
      </x:c>
      <x:c r="V17" s="99" t="str">
        <x:f>IF(U17="","",IF(U17="赤字",100,0)+IF(S17&gt;=90,50,0)+IF(P17&lt;0.15,30,0)+IF(E17&gt;=15,10,0))</x:f>
      </x:c>
      <x:c r="W17" s="101" t="str">
        <x:f>IF(U17="","",IF(U17="赤字","価格・原価・送料を再確認",IF(AND(S17&gt;=90,H17&lt;=2),"値下げ・再出品・仕入停止を検討",IF(P17&lt;0.15,"送料・手数料を見直す","継続観察"))))</x:f>
      </x:c>
    </x:row>
    <x:row r="18">
      <x:c r="A18" s="95"/>
      <x:c r="B18" s="95"/>
      <x:c r="C18" s="95"/>
      <x:c r="D18" s="95"/>
      <x:c r="E18" s="95"/>
      <x:c r="F18" s="96"/>
      <x:c r="G18" s="96"/>
      <x:c r="H18" s="95"/>
      <x:c r="I18" s="97"/>
      <x:c r="J18" s="97"/>
      <x:c r="K18" s="98"/>
      <x:c r="L18" s="97"/>
      <x:c r="M18" s="97"/>
      <x:c r="N18" s="99" t="str">
        <x:f>IF(OR(I18="",K18=""),"",I18*K18)</x:f>
      </x:c>
      <x:c r="O18" s="99" t="str">
        <x:f>IF(OR(I18="",J18="",N18="",L18="",M18=""),"",I18-J18-N18-L18-M18)</x:f>
      </x:c>
      <x:c r="P18" s="100" t="str">
        <x:f>IFERROR(O18/I18,"")</x:f>
      </x:c>
      <x:c r="Q18" s="99" t="str">
        <x:f>IF(OR(H18="",I18=""),"",H18*I18)</x:f>
      </x:c>
      <x:c r="R18" s="99" t="str">
        <x:f>IF(OR(H18="",O18=""),"",H18*O18)</x:f>
      </x:c>
      <x:c r="S18" s="99" t="str">
        <x:f>IF(G18="","",$B$2-G18)</x:f>
      </x:c>
      <x:c r="T18" s="99" t="str">
        <x:f>IF(S18="","",IF(S18&gt;=90,"90日以上",IF(S18&gt;=60,"60-89日","59日以下")))</x:f>
      </x:c>
      <x:c r="U18" s="99" t="str">
        <x:f>IF(O18="","",IF(O18&lt;0,"赤字",IF(AND(S18&gt;=90,H18&lt;=2),"要見直し",IF(P18&lt;0.15,"低利益","通常"))))</x:f>
      </x:c>
      <x:c r="V18" s="99" t="str">
        <x:f>IF(U18="","",IF(U18="赤字",100,0)+IF(S18&gt;=90,50,0)+IF(P18&lt;0.15,30,0)+IF(E18&gt;=15,10,0))</x:f>
      </x:c>
      <x:c r="W18" s="101" t="str">
        <x:f>IF(U18="","",IF(U18="赤字","価格・原価・送料を再確認",IF(AND(S18&gt;=90,H18&lt;=2),"値下げ・再出品・仕入停止を検討",IF(P18&lt;0.15,"送料・手数料を見直す","継続観察"))))</x:f>
      </x:c>
    </x:row>
    <x:row r="19">
      <x:c r="A19" s="95"/>
      <x:c r="B19" s="95"/>
      <x:c r="C19" s="95"/>
      <x:c r="D19" s="95"/>
      <x:c r="E19" s="95"/>
      <x:c r="F19" s="96"/>
      <x:c r="G19" s="96"/>
      <x:c r="H19" s="95"/>
      <x:c r="I19" s="97"/>
      <x:c r="J19" s="97"/>
      <x:c r="K19" s="98"/>
      <x:c r="L19" s="97"/>
      <x:c r="M19" s="97"/>
      <x:c r="N19" s="99" t="str">
        <x:f>IF(OR(I19="",K19=""),"",I19*K19)</x:f>
      </x:c>
      <x:c r="O19" s="99" t="str">
        <x:f>IF(OR(I19="",J19="",N19="",L19="",M19=""),"",I19-J19-N19-L19-M19)</x:f>
      </x:c>
      <x:c r="P19" s="100" t="str">
        <x:f>IFERROR(O19/I19,"")</x:f>
      </x:c>
      <x:c r="Q19" s="99" t="str">
        <x:f>IF(OR(H19="",I19=""),"",H19*I19)</x:f>
      </x:c>
      <x:c r="R19" s="99" t="str">
        <x:f>IF(OR(H19="",O19=""),"",H19*O19)</x:f>
      </x:c>
      <x:c r="S19" s="99" t="str">
        <x:f>IF(G19="","",$B$2-G19)</x:f>
      </x:c>
      <x:c r="T19" s="99" t="str">
        <x:f>IF(S19="","",IF(S19&gt;=90,"90日以上",IF(S19&gt;=60,"60-89日","59日以下")))</x:f>
      </x:c>
      <x:c r="U19" s="99" t="str">
        <x:f>IF(O19="","",IF(O19&lt;0,"赤字",IF(AND(S19&gt;=90,H19&lt;=2),"要見直し",IF(P19&lt;0.15,"低利益","通常"))))</x:f>
      </x:c>
      <x:c r="V19" s="99" t="str">
        <x:f>IF(U19="","",IF(U19="赤字",100,0)+IF(S19&gt;=90,50,0)+IF(P19&lt;0.15,30,0)+IF(E19&gt;=15,10,0))</x:f>
      </x:c>
      <x:c r="W19" s="101" t="str">
        <x:f>IF(U19="","",IF(U19="赤字","価格・原価・送料を再確認",IF(AND(S19&gt;=90,H19&lt;=2),"値下げ・再出品・仕入停止を検討",IF(P19&lt;0.15,"送料・手数料を見直す","継続観察"))))</x:f>
      </x:c>
    </x:row>
    <x:row r="20">
      <x:c r="A20" s="95"/>
      <x:c r="B20" s="95"/>
      <x:c r="C20" s="95"/>
      <x:c r="D20" s="95"/>
      <x:c r="E20" s="95"/>
      <x:c r="F20" s="96"/>
      <x:c r="G20" s="96"/>
      <x:c r="H20" s="95"/>
      <x:c r="I20" s="97"/>
      <x:c r="J20" s="97"/>
      <x:c r="K20" s="98"/>
      <x:c r="L20" s="97"/>
      <x:c r="M20" s="97"/>
      <x:c r="N20" s="99" t="str">
        <x:f>IF(OR(I20="",K20=""),"",I20*K20)</x:f>
      </x:c>
      <x:c r="O20" s="99" t="str">
        <x:f>IF(OR(I20="",J20="",N20="",L20="",M20=""),"",I20-J20-N20-L20-M20)</x:f>
      </x:c>
      <x:c r="P20" s="100" t="str">
        <x:f>IFERROR(O20/I20,"")</x:f>
      </x:c>
      <x:c r="Q20" s="99" t="str">
        <x:f>IF(OR(H20="",I20=""),"",H20*I20)</x:f>
      </x:c>
      <x:c r="R20" s="99" t="str">
        <x:f>IF(OR(H20="",O20=""),"",H20*O20)</x:f>
      </x:c>
      <x:c r="S20" s="99" t="str">
        <x:f>IF(G20="","",$B$2-G20)</x:f>
      </x:c>
      <x:c r="T20" s="99" t="str">
        <x:f>IF(S20="","",IF(S20&gt;=90,"90日以上",IF(S20&gt;=60,"60-89日","59日以下")))</x:f>
      </x:c>
      <x:c r="U20" s="99" t="str">
        <x:f>IF(O20="","",IF(O20&lt;0,"赤字",IF(AND(S20&gt;=90,H20&lt;=2),"要見直し",IF(P20&lt;0.15,"低利益","通常"))))</x:f>
      </x:c>
      <x:c r="V20" s="99" t="str">
        <x:f>IF(U20="","",IF(U20="赤字",100,0)+IF(S20&gt;=90,50,0)+IF(P20&lt;0.15,30,0)+IF(E20&gt;=15,10,0))</x:f>
      </x:c>
      <x:c r="W20" s="101" t="str">
        <x:f>IF(U20="","",IF(U20="赤字","価格・原価・送料を再確認",IF(AND(S20&gt;=90,H20&lt;=2),"値下げ・再出品・仕入停止を検討",IF(P20&lt;0.15,"送料・手数料を見直す","継続観察"))))</x:f>
      </x:c>
    </x:row>
    <x:row r="21">
      <x:c r="A21" s="95"/>
      <x:c r="B21" s="95"/>
      <x:c r="C21" s="95"/>
      <x:c r="D21" s="95"/>
      <x:c r="E21" s="95"/>
      <x:c r="F21" s="96"/>
      <x:c r="G21" s="96"/>
      <x:c r="H21" s="95"/>
      <x:c r="I21" s="97"/>
      <x:c r="J21" s="97"/>
      <x:c r="K21" s="98"/>
      <x:c r="L21" s="97"/>
      <x:c r="M21" s="97"/>
      <x:c r="N21" s="99" t="str">
        <x:f>IF(OR(I21="",K21=""),"",I21*K21)</x:f>
      </x:c>
      <x:c r="O21" s="99" t="str">
        <x:f>IF(OR(I21="",J21="",N21="",L21="",M21=""),"",I21-J21-N21-L21-M21)</x:f>
      </x:c>
      <x:c r="P21" s="100" t="str">
        <x:f>IFERROR(O21/I21,"")</x:f>
      </x:c>
      <x:c r="Q21" s="99" t="str">
        <x:f>IF(OR(H21="",I21=""),"",H21*I21)</x:f>
      </x:c>
      <x:c r="R21" s="99" t="str">
        <x:f>IF(OR(H21="",O21=""),"",H21*O21)</x:f>
      </x:c>
      <x:c r="S21" s="99" t="str">
        <x:f>IF(G21="","",$B$2-G21)</x:f>
      </x:c>
      <x:c r="T21" s="99" t="str">
        <x:f>IF(S21="","",IF(S21&gt;=90,"90日以上",IF(S21&gt;=60,"60-89日","59日以下")))</x:f>
      </x:c>
      <x:c r="U21" s="99" t="str">
        <x:f>IF(O21="","",IF(O21&lt;0,"赤字",IF(AND(S21&gt;=90,H21&lt;=2),"要見直し",IF(P21&lt;0.15,"低利益","通常"))))</x:f>
      </x:c>
      <x:c r="V21" s="99" t="str">
        <x:f>IF(U21="","",IF(U21="赤字",100,0)+IF(S21&gt;=90,50,0)+IF(P21&lt;0.15,30,0)+IF(E21&gt;=15,10,0))</x:f>
      </x:c>
      <x:c r="W21" s="101" t="str">
        <x:f>IF(U21="","",IF(U21="赤字","価格・原価・送料を再確認",IF(AND(S21&gt;=90,H21&lt;=2),"値下げ・再出品・仕入停止を検討",IF(P21&lt;0.15,"送料・手数料を見直す","継続観察"))))</x:f>
      </x:c>
    </x:row>
    <x:row r="22">
      <x:c r="A22" s="95"/>
      <x:c r="B22" s="95"/>
      <x:c r="C22" s="95"/>
      <x:c r="D22" s="95"/>
      <x:c r="E22" s="95"/>
      <x:c r="F22" s="96"/>
      <x:c r="G22" s="96"/>
      <x:c r="H22" s="95"/>
      <x:c r="I22" s="97"/>
      <x:c r="J22" s="97"/>
      <x:c r="K22" s="98"/>
      <x:c r="L22" s="97"/>
      <x:c r="M22" s="97"/>
      <x:c r="N22" s="99" t="str">
        <x:f>IF(OR(I22="",K22=""),"",I22*K22)</x:f>
      </x:c>
      <x:c r="O22" s="99" t="str">
        <x:f>IF(OR(I22="",J22="",N22="",L22="",M22=""),"",I22-J22-N22-L22-M22)</x:f>
      </x:c>
      <x:c r="P22" s="100" t="str">
        <x:f>IFERROR(O22/I22,"")</x:f>
      </x:c>
      <x:c r="Q22" s="99" t="str">
        <x:f>IF(OR(H22="",I22=""),"",H22*I22)</x:f>
      </x:c>
      <x:c r="R22" s="99" t="str">
        <x:f>IF(OR(H22="",O22=""),"",H22*O22)</x:f>
      </x:c>
      <x:c r="S22" s="99" t="str">
        <x:f>IF(G22="","",$B$2-G22)</x:f>
      </x:c>
      <x:c r="T22" s="99" t="str">
        <x:f>IF(S22="","",IF(S22&gt;=90,"90日以上",IF(S22&gt;=60,"60-89日","59日以下")))</x:f>
      </x:c>
      <x:c r="U22" s="99" t="str">
        <x:f>IF(O22="","",IF(O22&lt;0,"赤字",IF(AND(S22&gt;=90,H22&lt;=2),"要見直し",IF(P22&lt;0.15,"低利益","通常"))))</x:f>
      </x:c>
      <x:c r="V22" s="99" t="str">
        <x:f>IF(U22="","",IF(U22="赤字",100,0)+IF(S22&gt;=90,50,0)+IF(P22&lt;0.15,30,0)+IF(E22&gt;=15,10,0))</x:f>
      </x:c>
      <x:c r="W22" s="101" t="str">
        <x:f>IF(U22="","",IF(U22="赤字","価格・原価・送料を再確認",IF(AND(S22&gt;=90,H22&lt;=2),"値下げ・再出品・仕入停止を検討",IF(P22&lt;0.15,"送料・手数料を見直す","継続観察"))))</x:f>
      </x:c>
    </x:row>
    <x:row r="23">
      <x:c r="A23" s="95"/>
      <x:c r="B23" s="95"/>
      <x:c r="C23" s="95"/>
      <x:c r="D23" s="95"/>
      <x:c r="E23" s="95"/>
      <x:c r="F23" s="96"/>
      <x:c r="G23" s="96"/>
      <x:c r="H23" s="95"/>
      <x:c r="I23" s="97"/>
      <x:c r="J23" s="97"/>
      <x:c r="K23" s="98"/>
      <x:c r="L23" s="97"/>
      <x:c r="M23" s="97"/>
      <x:c r="N23" s="99" t="str">
        <x:f>IF(OR(I23="",K23=""),"",I23*K23)</x:f>
      </x:c>
      <x:c r="O23" s="99" t="str">
        <x:f>IF(OR(I23="",J23="",N23="",L23="",M23=""),"",I23-J23-N23-L23-M23)</x:f>
      </x:c>
      <x:c r="P23" s="100" t="str">
        <x:f>IFERROR(O23/I23,"")</x:f>
      </x:c>
      <x:c r="Q23" s="99" t="str">
        <x:f>IF(OR(H23="",I23=""),"",H23*I23)</x:f>
      </x:c>
      <x:c r="R23" s="99" t="str">
        <x:f>IF(OR(H23="",O23=""),"",H23*O23)</x:f>
      </x:c>
      <x:c r="S23" s="99" t="str">
        <x:f>IF(G23="","",$B$2-G23)</x:f>
      </x:c>
      <x:c r="T23" s="99" t="str">
        <x:f>IF(S23="","",IF(S23&gt;=90,"90日以上",IF(S23&gt;=60,"60-89日","59日以下")))</x:f>
      </x:c>
      <x:c r="U23" s="99" t="str">
        <x:f>IF(O23="","",IF(O23&lt;0,"赤字",IF(AND(S23&gt;=90,H23&lt;=2),"要見直し",IF(P23&lt;0.15,"低利益","通常"))))</x:f>
      </x:c>
      <x:c r="V23" s="99" t="str">
        <x:f>IF(U23="","",IF(U23="赤字",100,0)+IF(S23&gt;=90,50,0)+IF(P23&lt;0.15,30,0)+IF(E23&gt;=15,10,0))</x:f>
      </x:c>
      <x:c r="W23" s="101" t="str">
        <x:f>IF(U23="","",IF(U23="赤字","価格・原価・送料を再確認",IF(AND(S23&gt;=90,H23&lt;=2),"値下げ・再出品・仕入停止を検討",IF(P23&lt;0.15,"送料・手数料を見直す","継続観察"))))</x:f>
      </x:c>
    </x:row>
    <x:row r="24">
      <x:c r="A24" s="95"/>
      <x:c r="B24" s="95"/>
      <x:c r="C24" s="95"/>
      <x:c r="D24" s="95"/>
      <x:c r="E24" s="95"/>
      <x:c r="F24" s="96"/>
      <x:c r="G24" s="96"/>
      <x:c r="H24" s="95"/>
      <x:c r="I24" s="97"/>
      <x:c r="J24" s="97"/>
      <x:c r="K24" s="98"/>
      <x:c r="L24" s="97"/>
      <x:c r="M24" s="97"/>
      <x:c r="N24" s="99" t="str">
        <x:f>IF(OR(I24="",K24=""),"",I24*K24)</x:f>
      </x:c>
      <x:c r="O24" s="99" t="str">
        <x:f>IF(OR(I24="",J24="",N24="",L24="",M24=""),"",I24-J24-N24-L24-M24)</x:f>
      </x:c>
      <x:c r="P24" s="100" t="str">
        <x:f>IFERROR(O24/I24,"")</x:f>
      </x:c>
      <x:c r="Q24" s="99" t="str">
        <x:f>IF(OR(H24="",I24=""),"",H24*I24)</x:f>
      </x:c>
      <x:c r="R24" s="99" t="str">
        <x:f>IF(OR(H24="",O24=""),"",H24*O24)</x:f>
      </x:c>
      <x:c r="S24" s="99" t="str">
        <x:f>IF(G24="","",$B$2-G24)</x:f>
      </x:c>
      <x:c r="T24" s="99" t="str">
        <x:f>IF(S24="","",IF(S24&gt;=90,"90日以上",IF(S24&gt;=60,"60-89日","59日以下")))</x:f>
      </x:c>
      <x:c r="U24" s="99" t="str">
        <x:f>IF(O24="","",IF(O24&lt;0,"赤字",IF(AND(S24&gt;=90,H24&lt;=2),"要見直し",IF(P24&lt;0.15,"低利益","通常"))))</x:f>
      </x:c>
      <x:c r="V24" s="99" t="str">
        <x:f>IF(U24="","",IF(U24="赤字",100,0)+IF(S24&gt;=90,50,0)+IF(P24&lt;0.15,30,0)+IF(E24&gt;=15,10,0))</x:f>
      </x:c>
      <x:c r="W24" s="101" t="str">
        <x:f>IF(U24="","",IF(U24="赤字","価格・原価・送料を再確認",IF(AND(S24&gt;=90,H24&lt;=2),"値下げ・再出品・仕入停止を検討",IF(P24&lt;0.15,"送料・手数料を見直す","継続観察"))))</x:f>
      </x:c>
    </x:row>
    <x:row r="25">
      <x:c r="A25" s="95"/>
      <x:c r="B25" s="95"/>
      <x:c r="C25" s="95"/>
      <x:c r="D25" s="95"/>
      <x:c r="E25" s="95"/>
      <x:c r="F25" s="96"/>
      <x:c r="G25" s="96"/>
      <x:c r="H25" s="95"/>
      <x:c r="I25" s="97"/>
      <x:c r="J25" s="97"/>
      <x:c r="K25" s="98"/>
      <x:c r="L25" s="97"/>
      <x:c r="M25" s="97"/>
      <x:c r="N25" s="99" t="str">
        <x:f>IF(OR(I25="",K25=""),"",I25*K25)</x:f>
      </x:c>
      <x:c r="O25" s="99" t="str">
        <x:f>IF(OR(I25="",J25="",N25="",L25="",M25=""),"",I25-J25-N25-L25-M25)</x:f>
      </x:c>
      <x:c r="P25" s="100" t="str">
        <x:f>IFERROR(O25/I25,"")</x:f>
      </x:c>
      <x:c r="Q25" s="99" t="str">
        <x:f>IF(OR(H25="",I25=""),"",H25*I25)</x:f>
      </x:c>
      <x:c r="R25" s="99" t="str">
        <x:f>IF(OR(H25="",O25=""),"",H25*O25)</x:f>
      </x:c>
      <x:c r="S25" s="99" t="str">
        <x:f>IF(G25="","",$B$2-G25)</x:f>
      </x:c>
      <x:c r="T25" s="99" t="str">
        <x:f>IF(S25="","",IF(S25&gt;=90,"90日以上",IF(S25&gt;=60,"60-89日","59日以下")))</x:f>
      </x:c>
      <x:c r="U25" s="99" t="str">
        <x:f>IF(O25="","",IF(O25&lt;0,"赤字",IF(AND(S25&gt;=90,H25&lt;=2),"要見直し",IF(P25&lt;0.15,"低利益","通常"))))</x:f>
      </x:c>
      <x:c r="V25" s="99" t="str">
        <x:f>IF(U25="","",IF(U25="赤字",100,0)+IF(S25&gt;=90,50,0)+IF(P25&lt;0.15,30,0)+IF(E25&gt;=15,10,0))</x:f>
      </x:c>
      <x:c r="W25" s="101" t="str">
        <x:f>IF(U25="","",IF(U25="赤字","価格・原価・送料を再確認",IF(AND(S25&gt;=90,H25&lt;=2),"値下げ・再出品・仕入停止を検討",IF(P25&lt;0.15,"送料・手数料を見直す","継続観察"))))</x:f>
      </x:c>
    </x:row>
    <x:row r="26">
      <x:c r="A26" s="95"/>
      <x:c r="B26" s="95"/>
      <x:c r="C26" s="95"/>
      <x:c r="D26" s="95"/>
      <x:c r="E26" s="95"/>
      <x:c r="F26" s="96"/>
      <x:c r="G26" s="96"/>
      <x:c r="H26" s="95"/>
      <x:c r="I26" s="97"/>
      <x:c r="J26" s="97"/>
      <x:c r="K26" s="98"/>
      <x:c r="L26" s="97"/>
      <x:c r="M26" s="97"/>
      <x:c r="N26" s="99" t="str">
        <x:f>IF(OR(I26="",K26=""),"",I26*K26)</x:f>
      </x:c>
      <x:c r="O26" s="99" t="str">
        <x:f>IF(OR(I26="",J26="",N26="",L26="",M26=""),"",I26-J26-N26-L26-M26)</x:f>
      </x:c>
      <x:c r="P26" s="100" t="str">
        <x:f>IFERROR(O26/I26,"")</x:f>
      </x:c>
      <x:c r="Q26" s="99" t="str">
        <x:f>IF(OR(H26="",I26=""),"",H26*I26)</x:f>
      </x:c>
      <x:c r="R26" s="99" t="str">
        <x:f>IF(OR(H26="",O26=""),"",H26*O26)</x:f>
      </x:c>
      <x:c r="S26" s="99" t="str">
        <x:f>IF(G26="","",$B$2-G26)</x:f>
      </x:c>
      <x:c r="T26" s="99" t="str">
        <x:f>IF(S26="","",IF(S26&gt;=90,"90日以上",IF(S26&gt;=60,"60-89日","59日以下")))</x:f>
      </x:c>
      <x:c r="U26" s="99" t="str">
        <x:f>IF(O26="","",IF(O26&lt;0,"赤字",IF(AND(S26&gt;=90,H26&lt;=2),"要見直し",IF(P26&lt;0.15,"低利益","通常"))))</x:f>
      </x:c>
      <x:c r="V26" s="99" t="str">
        <x:f>IF(U26="","",IF(U26="赤字",100,0)+IF(S26&gt;=90,50,0)+IF(P26&lt;0.15,30,0)+IF(E26&gt;=15,10,0))</x:f>
      </x:c>
      <x:c r="W26" s="101" t="str">
        <x:f>IF(U26="","",IF(U26="赤字","価格・原価・送料を再確認",IF(AND(S26&gt;=90,H26&lt;=2),"値下げ・再出品・仕入停止を検討",IF(P26&lt;0.15,"送料・手数料を見直す","継続観察"))))</x:f>
      </x:c>
    </x:row>
    <x:row r="27">
      <x:c r="A27" s="95"/>
      <x:c r="B27" s="95"/>
      <x:c r="C27" s="95"/>
      <x:c r="D27" s="95"/>
      <x:c r="E27" s="95"/>
      <x:c r="F27" s="96"/>
      <x:c r="G27" s="96"/>
      <x:c r="H27" s="95"/>
      <x:c r="I27" s="97"/>
      <x:c r="J27" s="97"/>
      <x:c r="K27" s="98"/>
      <x:c r="L27" s="97"/>
      <x:c r="M27" s="97"/>
      <x:c r="N27" s="99" t="str">
        <x:f>IF(OR(I27="",K27=""),"",I27*K27)</x:f>
      </x:c>
      <x:c r="O27" s="99" t="str">
        <x:f>IF(OR(I27="",J27="",N27="",L27="",M27=""),"",I27-J27-N27-L27-M27)</x:f>
      </x:c>
      <x:c r="P27" s="100" t="str">
        <x:f>IFERROR(O27/I27,"")</x:f>
      </x:c>
      <x:c r="Q27" s="99" t="str">
        <x:f>IF(OR(H27="",I27=""),"",H27*I27)</x:f>
      </x:c>
      <x:c r="R27" s="99" t="str">
        <x:f>IF(OR(H27="",O27=""),"",H27*O27)</x:f>
      </x:c>
      <x:c r="S27" s="99" t="str">
        <x:f>IF(G27="","",$B$2-G27)</x:f>
      </x:c>
      <x:c r="T27" s="99" t="str">
        <x:f>IF(S27="","",IF(S27&gt;=90,"90日以上",IF(S27&gt;=60,"60-89日","59日以下")))</x:f>
      </x:c>
      <x:c r="U27" s="99" t="str">
        <x:f>IF(O27="","",IF(O27&lt;0,"赤字",IF(AND(S27&gt;=90,H27&lt;=2),"要見直し",IF(P27&lt;0.15,"低利益","通常"))))</x:f>
      </x:c>
      <x:c r="V27" s="99" t="str">
        <x:f>IF(U27="","",IF(U27="赤字",100,0)+IF(S27&gt;=90,50,0)+IF(P27&lt;0.15,30,0)+IF(E27&gt;=15,10,0))</x:f>
      </x:c>
      <x:c r="W27" s="101" t="str">
        <x:f>IF(U27="","",IF(U27="赤字","価格・原価・送料を再確認",IF(AND(S27&gt;=90,H27&lt;=2),"値下げ・再出品・仕入停止を検討",IF(P27&lt;0.15,"送料・手数料を見直す","継続観察"))))</x:f>
      </x:c>
    </x:row>
    <x:row r="28">
      <x:c r="A28" s="95"/>
      <x:c r="B28" s="95"/>
      <x:c r="C28" s="95"/>
      <x:c r="D28" s="95"/>
      <x:c r="E28" s="95"/>
      <x:c r="F28" s="96"/>
      <x:c r="G28" s="96"/>
      <x:c r="H28" s="95"/>
      <x:c r="I28" s="97"/>
      <x:c r="J28" s="97"/>
      <x:c r="K28" s="98"/>
      <x:c r="L28" s="97"/>
      <x:c r="M28" s="97"/>
      <x:c r="N28" s="99" t="str">
        <x:f>IF(OR(I28="",K28=""),"",I28*K28)</x:f>
      </x:c>
      <x:c r="O28" s="99" t="str">
        <x:f>IF(OR(I28="",J28="",N28="",L28="",M28=""),"",I28-J28-N28-L28-M28)</x:f>
      </x:c>
      <x:c r="P28" s="100" t="str">
        <x:f>IFERROR(O28/I28,"")</x:f>
      </x:c>
      <x:c r="Q28" s="99" t="str">
        <x:f>IF(OR(H28="",I28=""),"",H28*I28)</x:f>
      </x:c>
      <x:c r="R28" s="99" t="str">
        <x:f>IF(OR(H28="",O28=""),"",H28*O28)</x:f>
      </x:c>
      <x:c r="S28" s="99" t="str">
        <x:f>IF(G28="","",$B$2-G28)</x:f>
      </x:c>
      <x:c r="T28" s="99" t="str">
        <x:f>IF(S28="","",IF(S28&gt;=90,"90日以上",IF(S28&gt;=60,"60-89日","59日以下")))</x:f>
      </x:c>
      <x:c r="U28" s="99" t="str">
        <x:f>IF(O28="","",IF(O28&lt;0,"赤字",IF(AND(S28&gt;=90,H28&lt;=2),"要見直し",IF(P28&lt;0.15,"低利益","通常"))))</x:f>
      </x:c>
      <x:c r="V28" s="99" t="str">
        <x:f>IF(U28="","",IF(U28="赤字",100,0)+IF(S28&gt;=90,50,0)+IF(P28&lt;0.15,30,0)+IF(E28&gt;=15,10,0))</x:f>
      </x:c>
      <x:c r="W28" s="101" t="str">
        <x:f>IF(U28="","",IF(U28="赤字","価格・原価・送料を再確認",IF(AND(S28&gt;=90,H28&lt;=2),"値下げ・再出品・仕入停止を検討",IF(P28&lt;0.15,"送料・手数料を見直す","継続観察"))))</x:f>
      </x:c>
    </x:row>
    <x:row r="29">
      <x:c r="A29" s="95"/>
      <x:c r="B29" s="95"/>
      <x:c r="C29" s="95"/>
      <x:c r="D29" s="95"/>
      <x:c r="E29" s="95"/>
      <x:c r="F29" s="96"/>
      <x:c r="G29" s="96"/>
      <x:c r="H29" s="95"/>
      <x:c r="I29" s="97"/>
      <x:c r="J29" s="97"/>
      <x:c r="K29" s="98"/>
      <x:c r="L29" s="97"/>
      <x:c r="M29" s="97"/>
      <x:c r="N29" s="99" t="str">
        <x:f>IF(OR(I29="",K29=""),"",I29*K29)</x:f>
      </x:c>
      <x:c r="O29" s="99" t="str">
        <x:f>IF(OR(I29="",J29="",N29="",L29="",M29=""),"",I29-J29-N29-L29-M29)</x:f>
      </x:c>
      <x:c r="P29" s="100" t="str">
        <x:f>IFERROR(O29/I29,"")</x:f>
      </x:c>
      <x:c r="Q29" s="99" t="str">
        <x:f>IF(OR(H29="",I29=""),"",H29*I29)</x:f>
      </x:c>
      <x:c r="R29" s="99" t="str">
        <x:f>IF(OR(H29="",O29=""),"",H29*O29)</x:f>
      </x:c>
      <x:c r="S29" s="99" t="str">
        <x:f>IF(G29="","",$B$2-G29)</x:f>
      </x:c>
      <x:c r="T29" s="99" t="str">
        <x:f>IF(S29="","",IF(S29&gt;=90,"90日以上",IF(S29&gt;=60,"60-89日","59日以下")))</x:f>
      </x:c>
      <x:c r="U29" s="99" t="str">
        <x:f>IF(O29="","",IF(O29&lt;0,"赤字",IF(AND(S29&gt;=90,H29&lt;=2),"要見直し",IF(P29&lt;0.15,"低利益","通常"))))</x:f>
      </x:c>
      <x:c r="V29" s="99" t="str">
        <x:f>IF(U29="","",IF(U29="赤字",100,0)+IF(S29&gt;=90,50,0)+IF(P29&lt;0.15,30,0)+IF(E29&gt;=15,10,0))</x:f>
      </x:c>
      <x:c r="W29" s="101" t="str">
        <x:f>IF(U29="","",IF(U29="赤字","価格・原価・送料を再確認",IF(AND(S29&gt;=90,H29&lt;=2),"値下げ・再出品・仕入停止を検討",IF(P29&lt;0.15,"送料・手数料を見直す","継続観察"))))</x:f>
      </x:c>
    </x:row>
    <x:row r="30">
      <x:c r="A30" s="95"/>
      <x:c r="B30" s="95"/>
      <x:c r="C30" s="95"/>
      <x:c r="D30" s="95"/>
      <x:c r="E30" s="95"/>
      <x:c r="F30" s="96"/>
      <x:c r="G30" s="96"/>
      <x:c r="H30" s="95"/>
      <x:c r="I30" s="97"/>
      <x:c r="J30" s="97"/>
      <x:c r="K30" s="98"/>
      <x:c r="L30" s="97"/>
      <x:c r="M30" s="97"/>
      <x:c r="N30" s="99" t="str">
        <x:f>IF(OR(I30="",K30=""),"",I30*K30)</x:f>
      </x:c>
      <x:c r="O30" s="99" t="str">
        <x:f>IF(OR(I30="",J30="",N30="",L30="",M30=""),"",I30-J30-N30-L30-M30)</x:f>
      </x:c>
      <x:c r="P30" s="100" t="str">
        <x:f>IFERROR(O30/I30,"")</x:f>
      </x:c>
      <x:c r="Q30" s="99" t="str">
        <x:f>IF(OR(H30="",I30=""),"",H30*I30)</x:f>
      </x:c>
      <x:c r="R30" s="99" t="str">
        <x:f>IF(OR(H30="",O30=""),"",H30*O30)</x:f>
      </x:c>
      <x:c r="S30" s="99" t="str">
        <x:f>IF(G30="","",$B$2-G30)</x:f>
      </x:c>
      <x:c r="T30" s="99" t="str">
        <x:f>IF(S30="","",IF(S30&gt;=90,"90日以上",IF(S30&gt;=60,"60-89日","59日以下")))</x:f>
      </x:c>
      <x:c r="U30" s="99" t="str">
        <x:f>IF(O30="","",IF(O30&lt;0,"赤字",IF(AND(S30&gt;=90,H30&lt;=2),"要見直し",IF(P30&lt;0.15,"低利益","通常"))))</x:f>
      </x:c>
      <x:c r="V30" s="99" t="str">
        <x:f>IF(U30="","",IF(U30="赤字",100,0)+IF(S30&gt;=90,50,0)+IF(P30&lt;0.15,30,0)+IF(E30&gt;=15,10,0))</x:f>
      </x:c>
      <x:c r="W30" s="101" t="str">
        <x:f>IF(U30="","",IF(U30="赤字","価格・原価・送料を再確認",IF(AND(S30&gt;=90,H30&lt;=2),"値下げ・再出品・仕入停止を検討",IF(P30&lt;0.15,"送料・手数料を見直す","継続観察"))))</x:f>
      </x:c>
    </x:row>
    <x:row r="31">
      <x:c r="A31" s="95"/>
      <x:c r="B31" s="95"/>
      <x:c r="C31" s="95"/>
      <x:c r="D31" s="95"/>
      <x:c r="E31" s="95"/>
      <x:c r="F31" s="96"/>
      <x:c r="G31" s="96"/>
      <x:c r="H31" s="95"/>
      <x:c r="I31" s="97"/>
      <x:c r="J31" s="97"/>
      <x:c r="K31" s="98"/>
      <x:c r="L31" s="97"/>
      <x:c r="M31" s="97"/>
      <x:c r="N31" s="99" t="str">
        <x:f>IF(OR(I31="",K31=""),"",I31*K31)</x:f>
      </x:c>
      <x:c r="O31" s="99" t="str">
        <x:f>IF(OR(I31="",J31="",N31="",L31="",M31=""),"",I31-J31-N31-L31-M31)</x:f>
      </x:c>
      <x:c r="P31" s="100" t="str">
        <x:f>IFERROR(O31/I31,"")</x:f>
      </x:c>
      <x:c r="Q31" s="99" t="str">
        <x:f>IF(OR(H31="",I31=""),"",H31*I31)</x:f>
      </x:c>
      <x:c r="R31" s="99" t="str">
        <x:f>IF(OR(H31="",O31=""),"",H31*O31)</x:f>
      </x:c>
      <x:c r="S31" s="99" t="str">
        <x:f>IF(G31="","",$B$2-G31)</x:f>
      </x:c>
      <x:c r="T31" s="99" t="str">
        <x:f>IF(S31="","",IF(S31&gt;=90,"90日以上",IF(S31&gt;=60,"60-89日","59日以下")))</x:f>
      </x:c>
      <x:c r="U31" s="99" t="str">
        <x:f>IF(O31="","",IF(O31&lt;0,"赤字",IF(AND(S31&gt;=90,H31&lt;=2),"要見直し",IF(P31&lt;0.15,"低利益","通常"))))</x:f>
      </x:c>
      <x:c r="V31" s="99" t="str">
        <x:f>IF(U31="","",IF(U31="赤字",100,0)+IF(S31&gt;=90,50,0)+IF(P31&lt;0.15,30,0)+IF(E31&gt;=15,10,0))</x:f>
      </x:c>
      <x:c r="W31" s="101" t="str">
        <x:f>IF(U31="","",IF(U31="赤字","価格・原価・送料を再確認",IF(AND(S31&gt;=90,H31&lt;=2),"値下げ・再出品・仕入停止を検討",IF(P31&lt;0.15,"送料・手数料を見直す","継続観察"))))</x:f>
      </x:c>
    </x:row>
    <x:row r="32">
      <x:c r="A32" s="95"/>
      <x:c r="B32" s="95"/>
      <x:c r="C32" s="95"/>
      <x:c r="D32" s="95"/>
      <x:c r="E32" s="95"/>
      <x:c r="F32" s="96"/>
      <x:c r="G32" s="96"/>
      <x:c r="H32" s="95"/>
      <x:c r="I32" s="97"/>
      <x:c r="J32" s="97"/>
      <x:c r="K32" s="98"/>
      <x:c r="L32" s="97"/>
      <x:c r="M32" s="97"/>
      <x:c r="N32" s="99" t="str">
        <x:f>IF(OR(I32="",K32=""),"",I32*K32)</x:f>
      </x:c>
      <x:c r="O32" s="99" t="str">
        <x:f>IF(OR(I32="",J32="",N32="",L32="",M32=""),"",I32-J32-N32-L32-M32)</x:f>
      </x:c>
      <x:c r="P32" s="100" t="str">
        <x:f>IFERROR(O32/I32,"")</x:f>
      </x:c>
      <x:c r="Q32" s="99" t="str">
        <x:f>IF(OR(H32="",I32=""),"",H32*I32)</x:f>
      </x:c>
      <x:c r="R32" s="99" t="str">
        <x:f>IF(OR(H32="",O32=""),"",H32*O32)</x:f>
      </x:c>
      <x:c r="S32" s="99" t="str">
        <x:f>IF(G32="","",$B$2-G32)</x:f>
      </x:c>
      <x:c r="T32" s="99" t="str">
        <x:f>IF(S32="","",IF(S32&gt;=90,"90日以上",IF(S32&gt;=60,"60-89日","59日以下")))</x:f>
      </x:c>
      <x:c r="U32" s="99" t="str">
        <x:f>IF(O32="","",IF(O32&lt;0,"赤字",IF(AND(S32&gt;=90,H32&lt;=2),"要見直し",IF(P32&lt;0.15,"低利益","通常"))))</x:f>
      </x:c>
      <x:c r="V32" s="99" t="str">
        <x:f>IF(U32="","",IF(U32="赤字",100,0)+IF(S32&gt;=90,50,0)+IF(P32&lt;0.15,30,0)+IF(E32&gt;=15,10,0))</x:f>
      </x:c>
      <x:c r="W32" s="101" t="str">
        <x:f>IF(U32="","",IF(U32="赤字","価格・原価・送料を再確認",IF(AND(S32&gt;=90,H32&lt;=2),"値下げ・再出品・仕入停止を検討",IF(P32&lt;0.15,"送料・手数料を見直す","継続観察"))))</x:f>
      </x:c>
    </x:row>
    <x:row r="33">
      <x:c r="A33" s="95"/>
      <x:c r="B33" s="95"/>
      <x:c r="C33" s="95"/>
      <x:c r="D33" s="95"/>
      <x:c r="E33" s="95"/>
      <x:c r="F33" s="96"/>
      <x:c r="G33" s="96"/>
      <x:c r="H33" s="95"/>
      <x:c r="I33" s="97"/>
      <x:c r="J33" s="97"/>
      <x:c r="K33" s="98"/>
      <x:c r="L33" s="97"/>
      <x:c r="M33" s="97"/>
      <x:c r="N33" s="99" t="str">
        <x:f>IF(OR(I33="",K33=""),"",I33*K33)</x:f>
      </x:c>
      <x:c r="O33" s="99" t="str">
        <x:f>IF(OR(I33="",J33="",N33="",L33="",M33=""),"",I33-J33-N33-L33-M33)</x:f>
      </x:c>
      <x:c r="P33" s="100" t="str">
        <x:f>IFERROR(O33/I33,"")</x:f>
      </x:c>
      <x:c r="Q33" s="99" t="str">
        <x:f>IF(OR(H33="",I33=""),"",H33*I33)</x:f>
      </x:c>
      <x:c r="R33" s="99" t="str">
        <x:f>IF(OR(H33="",O33=""),"",H33*O33)</x:f>
      </x:c>
      <x:c r="S33" s="99" t="str">
        <x:f>IF(G33="","",$B$2-G33)</x:f>
      </x:c>
      <x:c r="T33" s="99" t="str">
        <x:f>IF(S33="","",IF(S33&gt;=90,"90日以上",IF(S33&gt;=60,"60-89日","59日以下")))</x:f>
      </x:c>
      <x:c r="U33" s="99" t="str">
        <x:f>IF(O33="","",IF(O33&lt;0,"赤字",IF(AND(S33&gt;=90,H33&lt;=2),"要見直し",IF(P33&lt;0.15,"低利益","通常"))))</x:f>
      </x:c>
      <x:c r="V33" s="99" t="str">
        <x:f>IF(U33="","",IF(U33="赤字",100,0)+IF(S33&gt;=90,50,0)+IF(P33&lt;0.15,30,0)+IF(E33&gt;=15,10,0))</x:f>
      </x:c>
      <x:c r="W33" s="101" t="str">
        <x:f>IF(U33="","",IF(U33="赤字","価格・原価・送料を再確認",IF(AND(S33&gt;=90,H33&lt;=2),"値下げ・再出品・仕入停止を検討",IF(P33&lt;0.15,"送料・手数料を見直す","継続観察"))))</x:f>
      </x:c>
    </x:row>
    <x:row r="34">
      <x:c r="A34" s="95"/>
      <x:c r="B34" s="95"/>
      <x:c r="C34" s="95"/>
      <x:c r="D34" s="95"/>
      <x:c r="E34" s="95"/>
      <x:c r="F34" s="96"/>
      <x:c r="G34" s="96"/>
      <x:c r="H34" s="95"/>
      <x:c r="I34" s="97"/>
      <x:c r="J34" s="97"/>
      <x:c r="K34" s="98"/>
      <x:c r="L34" s="97"/>
      <x:c r="M34" s="97"/>
      <x:c r="N34" s="99" t="str">
        <x:f>IF(OR(I34="",K34=""),"",I34*K34)</x:f>
      </x:c>
      <x:c r="O34" s="99" t="str">
        <x:f>IF(OR(I34="",J34="",N34="",L34="",M34=""),"",I34-J34-N34-L34-M34)</x:f>
      </x:c>
      <x:c r="P34" s="100" t="str">
        <x:f>IFERROR(O34/I34,"")</x:f>
      </x:c>
      <x:c r="Q34" s="99" t="str">
        <x:f>IF(OR(H34="",I34=""),"",H34*I34)</x:f>
      </x:c>
      <x:c r="R34" s="99" t="str">
        <x:f>IF(OR(H34="",O34=""),"",H34*O34)</x:f>
      </x:c>
      <x:c r="S34" s="99" t="str">
        <x:f>IF(G34="","",$B$2-G34)</x:f>
      </x:c>
      <x:c r="T34" s="99" t="str">
        <x:f>IF(S34="","",IF(S34&gt;=90,"90日以上",IF(S34&gt;=60,"60-89日","59日以下")))</x:f>
      </x:c>
      <x:c r="U34" s="99" t="str">
        <x:f>IF(O34="","",IF(O34&lt;0,"赤字",IF(AND(S34&gt;=90,H34&lt;=2),"要見直し",IF(P34&lt;0.15,"低利益","通常"))))</x:f>
      </x:c>
      <x:c r="V34" s="99" t="str">
        <x:f>IF(U34="","",IF(U34="赤字",100,0)+IF(S34&gt;=90,50,0)+IF(P34&lt;0.15,30,0)+IF(E34&gt;=15,10,0))</x:f>
      </x:c>
      <x:c r="W34" s="101" t="str">
        <x:f>IF(U34="","",IF(U34="赤字","価格・原価・送料を再確認",IF(AND(S34&gt;=90,H34&lt;=2),"値下げ・再出品・仕入停止を検討",IF(P34&lt;0.15,"送料・手数料を見直す","継続観察"))))</x:f>
      </x:c>
    </x:row>
    <x:row r="35">
      <x:c r="A35" s="95"/>
      <x:c r="B35" s="95"/>
      <x:c r="C35" s="95"/>
      <x:c r="D35" s="95"/>
      <x:c r="E35" s="95"/>
      <x:c r="F35" s="96"/>
      <x:c r="G35" s="96"/>
      <x:c r="H35" s="95"/>
      <x:c r="I35" s="97"/>
      <x:c r="J35" s="97"/>
      <x:c r="K35" s="98"/>
      <x:c r="L35" s="97"/>
      <x:c r="M35" s="97"/>
      <x:c r="N35" s="99" t="str">
        <x:f>IF(OR(I35="",K35=""),"",I35*K35)</x:f>
      </x:c>
      <x:c r="O35" s="99" t="str">
        <x:f>IF(OR(I35="",J35="",N35="",L35="",M35=""),"",I35-J35-N35-L35-M35)</x:f>
      </x:c>
      <x:c r="P35" s="100" t="str">
        <x:f>IFERROR(O35/I35,"")</x:f>
      </x:c>
      <x:c r="Q35" s="99" t="str">
        <x:f>IF(OR(H35="",I35=""),"",H35*I35)</x:f>
      </x:c>
      <x:c r="R35" s="99" t="str">
        <x:f>IF(OR(H35="",O35=""),"",H35*O35)</x:f>
      </x:c>
      <x:c r="S35" s="99" t="str">
        <x:f>IF(G35="","",$B$2-G35)</x:f>
      </x:c>
      <x:c r="T35" s="99" t="str">
        <x:f>IF(S35="","",IF(S35&gt;=90,"90日以上",IF(S35&gt;=60,"60-89日","59日以下")))</x:f>
      </x:c>
      <x:c r="U35" s="99" t="str">
        <x:f>IF(O35="","",IF(O35&lt;0,"赤字",IF(AND(S35&gt;=90,H35&lt;=2),"要見直し",IF(P35&lt;0.15,"低利益","通常"))))</x:f>
      </x:c>
      <x:c r="V35" s="99" t="str">
        <x:f>IF(U35="","",IF(U35="赤字",100,0)+IF(S35&gt;=90,50,0)+IF(P35&lt;0.15,30,0)+IF(E35&gt;=15,10,0))</x:f>
      </x:c>
      <x:c r="W35" s="101" t="str">
        <x:f>IF(U35="","",IF(U35="赤字","価格・原価・送料を再確認",IF(AND(S35&gt;=90,H35&lt;=2),"値下げ・再出品・仕入停止を検討",IF(P35&lt;0.15,"送料・手数料を見直す","継続観察"))))</x:f>
      </x:c>
    </x:row>
    <x:row r="36">
      <x:c r="A36" s="95"/>
      <x:c r="B36" s="95"/>
      <x:c r="C36" s="95"/>
      <x:c r="D36" s="95"/>
      <x:c r="E36" s="95"/>
      <x:c r="F36" s="96"/>
      <x:c r="G36" s="96"/>
      <x:c r="H36" s="95"/>
      <x:c r="I36" s="97"/>
      <x:c r="J36" s="97"/>
      <x:c r="K36" s="98"/>
      <x:c r="L36" s="97"/>
      <x:c r="M36" s="97"/>
      <x:c r="N36" s="99" t="str">
        <x:f>IF(OR(I36="",K36=""),"",I36*K36)</x:f>
      </x:c>
      <x:c r="O36" s="99" t="str">
        <x:f>IF(OR(I36="",J36="",N36="",L36="",M36=""),"",I36-J36-N36-L36-M36)</x:f>
      </x:c>
      <x:c r="P36" s="100" t="str">
        <x:f>IFERROR(O36/I36,"")</x:f>
      </x:c>
      <x:c r="Q36" s="99" t="str">
        <x:f>IF(OR(H36="",I36=""),"",H36*I36)</x:f>
      </x:c>
      <x:c r="R36" s="99" t="str">
        <x:f>IF(OR(H36="",O36=""),"",H36*O36)</x:f>
      </x:c>
      <x:c r="S36" s="99" t="str">
        <x:f>IF(G36="","",$B$2-G36)</x:f>
      </x:c>
      <x:c r="T36" s="99" t="str">
        <x:f>IF(S36="","",IF(S36&gt;=90,"90日以上",IF(S36&gt;=60,"60-89日","59日以下")))</x:f>
      </x:c>
      <x:c r="U36" s="99" t="str">
        <x:f>IF(O36="","",IF(O36&lt;0,"赤字",IF(AND(S36&gt;=90,H36&lt;=2),"要見直し",IF(P36&lt;0.15,"低利益","通常"))))</x:f>
      </x:c>
      <x:c r="V36" s="99" t="str">
        <x:f>IF(U36="","",IF(U36="赤字",100,0)+IF(S36&gt;=90,50,0)+IF(P36&lt;0.15,30,0)+IF(E36&gt;=15,10,0))</x:f>
      </x:c>
      <x:c r="W36" s="101" t="str">
        <x:f>IF(U36="","",IF(U36="赤字","価格・原価・送料を再確認",IF(AND(S36&gt;=90,H36&lt;=2),"値下げ・再出品・仕入停止を検討",IF(P36&lt;0.15,"送料・手数料を見直す","継続観察"))))</x:f>
      </x:c>
    </x:row>
    <x:row r="37">
      <x:c r="A37" s="95"/>
      <x:c r="B37" s="95"/>
      <x:c r="C37" s="95"/>
      <x:c r="D37" s="95"/>
      <x:c r="E37" s="95"/>
      <x:c r="F37" s="96"/>
      <x:c r="G37" s="96"/>
      <x:c r="H37" s="95"/>
      <x:c r="I37" s="97"/>
      <x:c r="J37" s="97"/>
      <x:c r="K37" s="98"/>
      <x:c r="L37" s="97"/>
      <x:c r="M37" s="97"/>
      <x:c r="N37" s="99" t="str">
        <x:f>IF(OR(I37="",K37=""),"",I37*K37)</x:f>
      </x:c>
      <x:c r="O37" s="99" t="str">
        <x:f>IF(OR(I37="",J37="",N37="",L37="",M37=""),"",I37-J37-N37-L37-M37)</x:f>
      </x:c>
      <x:c r="P37" s="100" t="str">
        <x:f>IFERROR(O37/I37,"")</x:f>
      </x:c>
      <x:c r="Q37" s="99" t="str">
        <x:f>IF(OR(H37="",I37=""),"",H37*I37)</x:f>
      </x:c>
      <x:c r="R37" s="99" t="str">
        <x:f>IF(OR(H37="",O37=""),"",H37*O37)</x:f>
      </x:c>
      <x:c r="S37" s="99" t="str">
        <x:f>IF(G37="","",$B$2-G37)</x:f>
      </x:c>
      <x:c r="T37" s="99" t="str">
        <x:f>IF(S37="","",IF(S37&gt;=90,"90日以上",IF(S37&gt;=60,"60-89日","59日以下")))</x:f>
      </x:c>
      <x:c r="U37" s="99" t="str">
        <x:f>IF(O37="","",IF(O37&lt;0,"赤字",IF(AND(S37&gt;=90,H37&lt;=2),"要見直し",IF(P37&lt;0.15,"低利益","通常"))))</x:f>
      </x:c>
      <x:c r="V37" s="99" t="str">
        <x:f>IF(U37="","",IF(U37="赤字",100,0)+IF(S37&gt;=90,50,0)+IF(P37&lt;0.15,30,0)+IF(E37&gt;=15,10,0))</x:f>
      </x:c>
      <x:c r="W37" s="101" t="str">
        <x:f>IF(U37="","",IF(U37="赤字","価格・原価・送料を再確認",IF(AND(S37&gt;=90,H37&lt;=2),"値下げ・再出品・仕入停止を検討",IF(P37&lt;0.15,"送料・手数料を見直す","継続観察"))))</x:f>
      </x:c>
    </x:row>
    <x:row r="38">
      <x:c r="A38" s="95"/>
      <x:c r="B38" s="95"/>
      <x:c r="C38" s="95"/>
      <x:c r="D38" s="95"/>
      <x:c r="E38" s="95"/>
      <x:c r="F38" s="96"/>
      <x:c r="G38" s="96"/>
      <x:c r="H38" s="95"/>
      <x:c r="I38" s="97"/>
      <x:c r="J38" s="97"/>
      <x:c r="K38" s="98"/>
      <x:c r="L38" s="97"/>
      <x:c r="M38" s="97"/>
      <x:c r="N38" s="99" t="str">
        <x:f>IF(OR(I38="",K38=""),"",I38*K38)</x:f>
      </x:c>
      <x:c r="O38" s="99" t="str">
        <x:f>IF(OR(I38="",J38="",N38="",L38="",M38=""),"",I38-J38-N38-L38-M38)</x:f>
      </x:c>
      <x:c r="P38" s="100" t="str">
        <x:f>IFERROR(O38/I38,"")</x:f>
      </x:c>
      <x:c r="Q38" s="99" t="str">
        <x:f>IF(OR(H38="",I38=""),"",H38*I38)</x:f>
      </x:c>
      <x:c r="R38" s="99" t="str">
        <x:f>IF(OR(H38="",O38=""),"",H38*O38)</x:f>
      </x:c>
      <x:c r="S38" s="99" t="str">
        <x:f>IF(G38="","",$B$2-G38)</x:f>
      </x:c>
      <x:c r="T38" s="99" t="str">
        <x:f>IF(S38="","",IF(S38&gt;=90,"90日以上",IF(S38&gt;=60,"60-89日","59日以下")))</x:f>
      </x:c>
      <x:c r="U38" s="99" t="str">
        <x:f>IF(O38="","",IF(O38&lt;0,"赤字",IF(AND(S38&gt;=90,H38&lt;=2),"要見直し",IF(P38&lt;0.15,"低利益","通常"))))</x:f>
      </x:c>
      <x:c r="V38" s="99" t="str">
        <x:f>IF(U38="","",IF(U38="赤字",100,0)+IF(S38&gt;=90,50,0)+IF(P38&lt;0.15,30,0)+IF(E38&gt;=15,10,0))</x:f>
      </x:c>
      <x:c r="W38" s="101" t="str">
        <x:f>IF(U38="","",IF(U38="赤字","価格・原価・送料を再確認",IF(AND(S38&gt;=90,H38&lt;=2),"値下げ・再出品・仕入停止を検討",IF(P38&lt;0.15,"送料・手数料を見直す","継続観察"))))</x:f>
      </x:c>
    </x:row>
    <x:row r="39">
      <x:c r="A39" s="95"/>
      <x:c r="B39" s="95"/>
      <x:c r="C39" s="95"/>
      <x:c r="D39" s="95"/>
      <x:c r="E39" s="95"/>
      <x:c r="F39" s="96"/>
      <x:c r="G39" s="96"/>
      <x:c r="H39" s="95"/>
      <x:c r="I39" s="97"/>
      <x:c r="J39" s="97"/>
      <x:c r="K39" s="98"/>
      <x:c r="L39" s="97"/>
      <x:c r="M39" s="97"/>
      <x:c r="N39" s="99" t="str">
        <x:f>IF(OR(I39="",K39=""),"",I39*K39)</x:f>
      </x:c>
      <x:c r="O39" s="99" t="str">
        <x:f>IF(OR(I39="",J39="",N39="",L39="",M39=""),"",I39-J39-N39-L39-M39)</x:f>
      </x:c>
      <x:c r="P39" s="100" t="str">
        <x:f>IFERROR(O39/I39,"")</x:f>
      </x:c>
      <x:c r="Q39" s="99" t="str">
        <x:f>IF(OR(H39="",I39=""),"",H39*I39)</x:f>
      </x:c>
      <x:c r="R39" s="99" t="str">
        <x:f>IF(OR(H39="",O39=""),"",H39*O39)</x:f>
      </x:c>
      <x:c r="S39" s="99" t="str">
        <x:f>IF(G39="","",$B$2-G39)</x:f>
      </x:c>
      <x:c r="T39" s="99" t="str">
        <x:f>IF(S39="","",IF(S39&gt;=90,"90日以上",IF(S39&gt;=60,"60-89日","59日以下")))</x:f>
      </x:c>
      <x:c r="U39" s="99" t="str">
        <x:f>IF(O39="","",IF(O39&lt;0,"赤字",IF(AND(S39&gt;=90,H39&lt;=2),"要見直し",IF(P39&lt;0.15,"低利益","通常"))))</x:f>
      </x:c>
      <x:c r="V39" s="99" t="str">
        <x:f>IF(U39="","",IF(U39="赤字",100,0)+IF(S39&gt;=90,50,0)+IF(P39&lt;0.15,30,0)+IF(E39&gt;=15,10,0))</x:f>
      </x:c>
      <x:c r="W39" s="101" t="str">
        <x:f>IF(U39="","",IF(U39="赤字","価格・原価・送料を再確認",IF(AND(S39&gt;=90,H39&lt;=2),"値下げ・再出品・仕入停止を検討",IF(P39&lt;0.15,"送料・手数料を見直す","継続観察"))))</x:f>
      </x:c>
    </x:row>
    <x:row r="40">
      <x:c r="A40" s="95"/>
      <x:c r="B40" s="95"/>
      <x:c r="C40" s="95"/>
      <x:c r="D40" s="95"/>
      <x:c r="E40" s="95"/>
      <x:c r="F40" s="96"/>
      <x:c r="G40" s="96"/>
      <x:c r="H40" s="95"/>
      <x:c r="I40" s="97"/>
      <x:c r="J40" s="97"/>
      <x:c r="K40" s="98"/>
      <x:c r="L40" s="97"/>
      <x:c r="M40" s="97"/>
      <x:c r="N40" s="99" t="str">
        <x:f>IF(OR(I40="",K40=""),"",I40*K40)</x:f>
      </x:c>
      <x:c r="O40" s="99" t="str">
        <x:f>IF(OR(I40="",J40="",N40="",L40="",M40=""),"",I40-J40-N40-L40-M40)</x:f>
      </x:c>
      <x:c r="P40" s="100" t="str">
        <x:f>IFERROR(O40/I40,"")</x:f>
      </x:c>
      <x:c r="Q40" s="99" t="str">
        <x:f>IF(OR(H40="",I40=""),"",H40*I40)</x:f>
      </x:c>
      <x:c r="R40" s="99" t="str">
        <x:f>IF(OR(H40="",O40=""),"",H40*O40)</x:f>
      </x:c>
      <x:c r="S40" s="99" t="str">
        <x:f>IF(G40="","",$B$2-G40)</x:f>
      </x:c>
      <x:c r="T40" s="99" t="str">
        <x:f>IF(S40="","",IF(S40&gt;=90,"90日以上",IF(S40&gt;=60,"60-89日","59日以下")))</x:f>
      </x:c>
      <x:c r="U40" s="99" t="str">
        <x:f>IF(O40="","",IF(O40&lt;0,"赤字",IF(AND(S40&gt;=90,H40&lt;=2),"要見直し",IF(P40&lt;0.15,"低利益","通常"))))</x:f>
      </x:c>
      <x:c r="V40" s="99" t="str">
        <x:f>IF(U40="","",IF(U40="赤字",100,0)+IF(S40&gt;=90,50,0)+IF(P40&lt;0.15,30,0)+IF(E40&gt;=15,10,0))</x:f>
      </x:c>
      <x:c r="W40" s="101" t="str">
        <x:f>IF(U40="","",IF(U40="赤字","価格・原価・送料を再確認",IF(AND(S40&gt;=90,H40&lt;=2),"値下げ・再出品・仕入停止を検討",IF(P40&lt;0.15,"送料・手数料を見直す","継続観察"))))</x:f>
      </x:c>
    </x:row>
    <x:row r="41">
      <x:c r="A41" s="95"/>
      <x:c r="B41" s="95"/>
      <x:c r="C41" s="95"/>
      <x:c r="D41" s="95"/>
      <x:c r="E41" s="95"/>
      <x:c r="F41" s="96"/>
      <x:c r="G41" s="96"/>
      <x:c r="H41" s="95"/>
      <x:c r="I41" s="97"/>
      <x:c r="J41" s="97"/>
      <x:c r="K41" s="98"/>
      <x:c r="L41" s="97"/>
      <x:c r="M41" s="97"/>
      <x:c r="N41" s="99" t="str">
        <x:f>IF(OR(I41="",K41=""),"",I41*K41)</x:f>
      </x:c>
      <x:c r="O41" s="99" t="str">
        <x:f>IF(OR(I41="",J41="",N41="",L41="",M41=""),"",I41-J41-N41-L41-M41)</x:f>
      </x:c>
      <x:c r="P41" s="100" t="str">
        <x:f>IFERROR(O41/I41,"")</x:f>
      </x:c>
      <x:c r="Q41" s="99" t="str">
        <x:f>IF(OR(H41="",I41=""),"",H41*I41)</x:f>
      </x:c>
      <x:c r="R41" s="99" t="str">
        <x:f>IF(OR(H41="",O41=""),"",H41*O41)</x:f>
      </x:c>
      <x:c r="S41" s="99" t="str">
        <x:f>IF(G41="","",$B$2-G41)</x:f>
      </x:c>
      <x:c r="T41" s="99" t="str">
        <x:f>IF(S41="","",IF(S41&gt;=90,"90日以上",IF(S41&gt;=60,"60-89日","59日以下")))</x:f>
      </x:c>
      <x:c r="U41" s="99" t="str">
        <x:f>IF(O41="","",IF(O41&lt;0,"赤字",IF(AND(S41&gt;=90,H41&lt;=2),"要見直し",IF(P41&lt;0.15,"低利益","通常"))))</x:f>
      </x:c>
      <x:c r="V41" s="99" t="str">
        <x:f>IF(U41="","",IF(U41="赤字",100,0)+IF(S41&gt;=90,50,0)+IF(P41&lt;0.15,30,0)+IF(E41&gt;=15,10,0))</x:f>
      </x:c>
      <x:c r="W41" s="101" t="str">
        <x:f>IF(U41="","",IF(U41="赤字","価格・原価・送料を再確認",IF(AND(S41&gt;=90,H41&lt;=2),"値下げ・再出品・仕入停止を検討",IF(P41&lt;0.15,"送料・手数料を見直す","継続観察"))))</x:f>
      </x:c>
    </x:row>
    <x:row r="42">
      <x:c r="A42" s="95"/>
      <x:c r="B42" s="95"/>
      <x:c r="C42" s="95"/>
      <x:c r="D42" s="95"/>
      <x:c r="E42" s="95"/>
      <x:c r="F42" s="96"/>
      <x:c r="G42" s="96"/>
      <x:c r="H42" s="95"/>
      <x:c r="I42" s="97"/>
      <x:c r="J42" s="97"/>
      <x:c r="K42" s="98"/>
      <x:c r="L42" s="97"/>
      <x:c r="M42" s="97"/>
      <x:c r="N42" s="99" t="str">
        <x:f>IF(OR(I42="",K42=""),"",I42*K42)</x:f>
      </x:c>
      <x:c r="O42" s="99" t="str">
        <x:f>IF(OR(I42="",J42="",N42="",L42="",M42=""),"",I42-J42-N42-L42-M42)</x:f>
      </x:c>
      <x:c r="P42" s="100" t="str">
        <x:f>IFERROR(O42/I42,"")</x:f>
      </x:c>
      <x:c r="Q42" s="99" t="str">
        <x:f>IF(OR(H42="",I42=""),"",H42*I42)</x:f>
      </x:c>
      <x:c r="R42" s="99" t="str">
        <x:f>IF(OR(H42="",O42=""),"",H42*O42)</x:f>
      </x:c>
      <x:c r="S42" s="99" t="str">
        <x:f>IF(G42="","",$B$2-G42)</x:f>
      </x:c>
      <x:c r="T42" s="99" t="str">
        <x:f>IF(S42="","",IF(S42&gt;=90,"90日以上",IF(S42&gt;=60,"60-89日","59日以下")))</x:f>
      </x:c>
      <x:c r="U42" s="99" t="str">
        <x:f>IF(O42="","",IF(O42&lt;0,"赤字",IF(AND(S42&gt;=90,H42&lt;=2),"要見直し",IF(P42&lt;0.15,"低利益","通常"))))</x:f>
      </x:c>
      <x:c r="V42" s="99" t="str">
        <x:f>IF(U42="","",IF(U42="赤字",100,0)+IF(S42&gt;=90,50,0)+IF(P42&lt;0.15,30,0)+IF(E42&gt;=15,10,0))</x:f>
      </x:c>
      <x:c r="W42" s="101" t="str">
        <x:f>IF(U42="","",IF(U42="赤字","価格・原価・送料を再確認",IF(AND(S42&gt;=90,H42&lt;=2),"値下げ・再出品・仕入停止を検討",IF(P42&lt;0.15,"送料・手数料を見直す","継続観察"))))</x:f>
      </x:c>
    </x:row>
    <x:row r="43">
      <x:c r="A43" s="95"/>
      <x:c r="B43" s="95"/>
      <x:c r="C43" s="95"/>
      <x:c r="D43" s="95"/>
      <x:c r="E43" s="95"/>
      <x:c r="F43" s="96"/>
      <x:c r="G43" s="96"/>
      <x:c r="H43" s="95"/>
      <x:c r="I43" s="97"/>
      <x:c r="J43" s="97"/>
      <x:c r="K43" s="98"/>
      <x:c r="L43" s="97"/>
      <x:c r="M43" s="97"/>
      <x:c r="N43" s="99" t="str">
        <x:f>IF(OR(I43="",K43=""),"",I43*K43)</x:f>
      </x:c>
      <x:c r="O43" s="99" t="str">
        <x:f>IF(OR(I43="",J43="",N43="",L43="",M43=""),"",I43-J43-N43-L43-M43)</x:f>
      </x:c>
      <x:c r="P43" s="100" t="str">
        <x:f>IFERROR(O43/I43,"")</x:f>
      </x:c>
      <x:c r="Q43" s="99" t="str">
        <x:f>IF(OR(H43="",I43=""),"",H43*I43)</x:f>
      </x:c>
      <x:c r="R43" s="99" t="str">
        <x:f>IF(OR(H43="",O43=""),"",H43*O43)</x:f>
      </x:c>
      <x:c r="S43" s="99" t="str">
        <x:f>IF(G43="","",$B$2-G43)</x:f>
      </x:c>
      <x:c r="T43" s="99" t="str">
        <x:f>IF(S43="","",IF(S43&gt;=90,"90日以上",IF(S43&gt;=60,"60-89日","59日以下")))</x:f>
      </x:c>
      <x:c r="U43" s="99" t="str">
        <x:f>IF(O43="","",IF(O43&lt;0,"赤字",IF(AND(S43&gt;=90,H43&lt;=2),"要見直し",IF(P43&lt;0.15,"低利益","通常"))))</x:f>
      </x:c>
      <x:c r="V43" s="99" t="str">
        <x:f>IF(U43="","",IF(U43="赤字",100,0)+IF(S43&gt;=90,50,0)+IF(P43&lt;0.15,30,0)+IF(E43&gt;=15,10,0))</x:f>
      </x:c>
      <x:c r="W43" s="101" t="str">
        <x:f>IF(U43="","",IF(U43="赤字","価格・原価・送料を再確認",IF(AND(S43&gt;=90,H43&lt;=2),"値下げ・再出品・仕入停止を検討",IF(P43&lt;0.15,"送料・手数料を見直す","継続観察"))))</x:f>
      </x:c>
    </x:row>
    <x:row r="44">
      <x:c r="A44" s="95"/>
      <x:c r="B44" s="95"/>
      <x:c r="C44" s="95"/>
      <x:c r="D44" s="95"/>
      <x:c r="E44" s="95"/>
      <x:c r="F44" s="96"/>
      <x:c r="G44" s="96"/>
      <x:c r="H44" s="95"/>
      <x:c r="I44" s="97"/>
      <x:c r="J44" s="97"/>
      <x:c r="K44" s="98"/>
      <x:c r="L44" s="97"/>
      <x:c r="M44" s="97"/>
      <x:c r="N44" s="99" t="str">
        <x:f>IF(OR(I44="",K44=""),"",I44*K44)</x:f>
      </x:c>
      <x:c r="O44" s="99" t="str">
        <x:f>IF(OR(I44="",J44="",N44="",L44="",M44=""),"",I44-J44-N44-L44-M44)</x:f>
      </x:c>
      <x:c r="P44" s="100" t="str">
        <x:f>IFERROR(O44/I44,"")</x:f>
      </x:c>
      <x:c r="Q44" s="99" t="str">
        <x:f>IF(OR(H44="",I44=""),"",H44*I44)</x:f>
      </x:c>
      <x:c r="R44" s="99" t="str">
        <x:f>IF(OR(H44="",O44=""),"",H44*O44)</x:f>
      </x:c>
      <x:c r="S44" s="99" t="str">
        <x:f>IF(G44="","",$B$2-G44)</x:f>
      </x:c>
      <x:c r="T44" s="99" t="str">
        <x:f>IF(S44="","",IF(S44&gt;=90,"90日以上",IF(S44&gt;=60,"60-89日","59日以下")))</x:f>
      </x:c>
      <x:c r="U44" s="99" t="str">
        <x:f>IF(O44="","",IF(O44&lt;0,"赤字",IF(AND(S44&gt;=90,H44&lt;=2),"要見直し",IF(P44&lt;0.15,"低利益","通常"))))</x:f>
      </x:c>
      <x:c r="V44" s="99" t="str">
        <x:f>IF(U44="","",IF(U44="赤字",100,0)+IF(S44&gt;=90,50,0)+IF(P44&lt;0.15,30,0)+IF(E44&gt;=15,10,0))</x:f>
      </x:c>
      <x:c r="W44" s="101" t="str">
        <x:f>IF(U44="","",IF(U44="赤字","価格・原価・送料を再確認",IF(AND(S44&gt;=90,H44&lt;=2),"値下げ・再出品・仕入停止を検討",IF(P44&lt;0.15,"送料・手数料を見直す","継続観察"))))</x:f>
      </x:c>
    </x:row>
    <x:row r="45">
      <x:c r="A45" s="95"/>
      <x:c r="B45" s="95"/>
      <x:c r="C45" s="95"/>
      <x:c r="D45" s="95"/>
      <x:c r="E45" s="95"/>
      <x:c r="F45" s="96"/>
      <x:c r="G45" s="96"/>
      <x:c r="H45" s="95"/>
      <x:c r="I45" s="97"/>
      <x:c r="J45" s="97"/>
      <x:c r="K45" s="98"/>
      <x:c r="L45" s="97"/>
      <x:c r="M45" s="97"/>
      <x:c r="N45" s="99" t="str">
        <x:f>IF(OR(I45="",K45=""),"",I45*K45)</x:f>
      </x:c>
      <x:c r="O45" s="99" t="str">
        <x:f>IF(OR(I45="",J45="",N45="",L45="",M45=""),"",I45-J45-N45-L45-M45)</x:f>
      </x:c>
      <x:c r="P45" s="100" t="str">
        <x:f>IFERROR(O45/I45,"")</x:f>
      </x:c>
      <x:c r="Q45" s="99" t="str">
        <x:f>IF(OR(H45="",I45=""),"",H45*I45)</x:f>
      </x:c>
      <x:c r="R45" s="99" t="str">
        <x:f>IF(OR(H45="",O45=""),"",H45*O45)</x:f>
      </x:c>
      <x:c r="S45" s="99" t="str">
        <x:f>IF(G45="","",$B$2-G45)</x:f>
      </x:c>
      <x:c r="T45" s="99" t="str">
        <x:f>IF(S45="","",IF(S45&gt;=90,"90日以上",IF(S45&gt;=60,"60-89日","59日以下")))</x:f>
      </x:c>
      <x:c r="U45" s="99" t="str">
        <x:f>IF(O45="","",IF(O45&lt;0,"赤字",IF(AND(S45&gt;=90,H45&lt;=2),"要見直し",IF(P45&lt;0.15,"低利益","通常"))))</x:f>
      </x:c>
      <x:c r="V45" s="99" t="str">
        <x:f>IF(U45="","",IF(U45="赤字",100,0)+IF(S45&gt;=90,50,0)+IF(P45&lt;0.15,30,0)+IF(E45&gt;=15,10,0))</x:f>
      </x:c>
      <x:c r="W45" s="101" t="str">
        <x:f>IF(U45="","",IF(U45="赤字","価格・原価・送料を再確認",IF(AND(S45&gt;=90,H45&lt;=2),"値下げ・再出品・仕入停止を検討",IF(P45&lt;0.15,"送料・手数料を見直す","継続観察"))))</x:f>
      </x:c>
    </x:row>
    <x:row r="46">
      <x:c r="A46" s="95"/>
      <x:c r="B46" s="95"/>
      <x:c r="C46" s="95"/>
      <x:c r="D46" s="95"/>
      <x:c r="E46" s="95"/>
      <x:c r="F46" s="96"/>
      <x:c r="G46" s="96"/>
      <x:c r="H46" s="95"/>
      <x:c r="I46" s="97"/>
      <x:c r="J46" s="97"/>
      <x:c r="K46" s="98"/>
      <x:c r="L46" s="97"/>
      <x:c r="M46" s="97"/>
      <x:c r="N46" s="99" t="str">
        <x:f>IF(OR(I46="",K46=""),"",I46*K46)</x:f>
      </x:c>
      <x:c r="O46" s="99" t="str">
        <x:f>IF(OR(I46="",J46="",N46="",L46="",M46=""),"",I46-J46-N46-L46-M46)</x:f>
      </x:c>
      <x:c r="P46" s="100" t="str">
        <x:f>IFERROR(O46/I46,"")</x:f>
      </x:c>
      <x:c r="Q46" s="99" t="str">
        <x:f>IF(OR(H46="",I46=""),"",H46*I46)</x:f>
      </x:c>
      <x:c r="R46" s="99" t="str">
        <x:f>IF(OR(H46="",O46=""),"",H46*O46)</x:f>
      </x:c>
      <x:c r="S46" s="99" t="str">
        <x:f>IF(G46="","",$B$2-G46)</x:f>
      </x:c>
      <x:c r="T46" s="99" t="str">
        <x:f>IF(S46="","",IF(S46&gt;=90,"90日以上",IF(S46&gt;=60,"60-89日","59日以下")))</x:f>
      </x:c>
      <x:c r="U46" s="99" t="str">
        <x:f>IF(O46="","",IF(O46&lt;0,"赤字",IF(AND(S46&gt;=90,H46&lt;=2),"要見直し",IF(P46&lt;0.15,"低利益","通常"))))</x:f>
      </x:c>
      <x:c r="V46" s="99" t="str">
        <x:f>IF(U46="","",IF(U46="赤字",100,0)+IF(S46&gt;=90,50,0)+IF(P46&lt;0.15,30,0)+IF(E46&gt;=15,10,0))</x:f>
      </x:c>
      <x:c r="W46" s="101" t="str">
        <x:f>IF(U46="","",IF(U46="赤字","価格・原価・送料を再確認",IF(AND(S46&gt;=90,H46&lt;=2),"値下げ・再出品・仕入停止を検討",IF(P46&lt;0.15,"送料・手数料を見直す","継続観察"))))</x:f>
      </x:c>
    </x:row>
    <x:row r="47">
      <x:c r="A47" s="95"/>
      <x:c r="B47" s="95"/>
      <x:c r="C47" s="95"/>
      <x:c r="D47" s="95"/>
      <x:c r="E47" s="95"/>
      <x:c r="F47" s="96"/>
      <x:c r="G47" s="96"/>
      <x:c r="H47" s="95"/>
      <x:c r="I47" s="97"/>
      <x:c r="J47" s="97"/>
      <x:c r="K47" s="98"/>
      <x:c r="L47" s="97"/>
      <x:c r="M47" s="97"/>
      <x:c r="N47" s="99" t="str">
        <x:f>IF(OR(I47="",K47=""),"",I47*K47)</x:f>
      </x:c>
      <x:c r="O47" s="99" t="str">
        <x:f>IF(OR(I47="",J47="",N47="",L47="",M47=""),"",I47-J47-N47-L47-M47)</x:f>
      </x:c>
      <x:c r="P47" s="100" t="str">
        <x:f>IFERROR(O47/I47,"")</x:f>
      </x:c>
      <x:c r="Q47" s="99" t="str">
        <x:f>IF(OR(H47="",I47=""),"",H47*I47)</x:f>
      </x:c>
      <x:c r="R47" s="99" t="str">
        <x:f>IF(OR(H47="",O47=""),"",H47*O47)</x:f>
      </x:c>
      <x:c r="S47" s="99" t="str">
        <x:f>IF(G47="","",$B$2-G47)</x:f>
      </x:c>
      <x:c r="T47" s="99" t="str">
        <x:f>IF(S47="","",IF(S47&gt;=90,"90日以上",IF(S47&gt;=60,"60-89日","59日以下")))</x:f>
      </x:c>
      <x:c r="U47" s="99" t="str">
        <x:f>IF(O47="","",IF(O47&lt;0,"赤字",IF(AND(S47&gt;=90,H47&lt;=2),"要見直し",IF(P47&lt;0.15,"低利益","通常"))))</x:f>
      </x:c>
      <x:c r="V47" s="99" t="str">
        <x:f>IF(U47="","",IF(U47="赤字",100,0)+IF(S47&gt;=90,50,0)+IF(P47&lt;0.15,30,0)+IF(E47&gt;=15,10,0))</x:f>
      </x:c>
      <x:c r="W47" s="101" t="str">
        <x:f>IF(U47="","",IF(U47="赤字","価格・原価・送料を再確認",IF(AND(S47&gt;=90,H47&lt;=2),"値下げ・再出品・仕入停止を検討",IF(P47&lt;0.15,"送料・手数料を見直す","継続観察"))))</x:f>
      </x:c>
    </x:row>
    <x:row r="48">
      <x:c r="A48" s="95"/>
      <x:c r="B48" s="95"/>
      <x:c r="C48" s="95"/>
      <x:c r="D48" s="95"/>
      <x:c r="E48" s="95"/>
      <x:c r="F48" s="96"/>
      <x:c r="G48" s="96"/>
      <x:c r="H48" s="95"/>
      <x:c r="I48" s="97"/>
      <x:c r="J48" s="97"/>
      <x:c r="K48" s="98"/>
      <x:c r="L48" s="97"/>
      <x:c r="M48" s="97"/>
      <x:c r="N48" s="99" t="str">
        <x:f>IF(OR(I48="",K48=""),"",I48*K48)</x:f>
      </x:c>
      <x:c r="O48" s="99" t="str">
        <x:f>IF(OR(I48="",J48="",N48="",L48="",M48=""),"",I48-J48-N48-L48-M48)</x:f>
      </x:c>
      <x:c r="P48" s="100" t="str">
        <x:f>IFERROR(O48/I48,"")</x:f>
      </x:c>
      <x:c r="Q48" s="99" t="str">
        <x:f>IF(OR(H48="",I48=""),"",H48*I48)</x:f>
      </x:c>
      <x:c r="R48" s="99" t="str">
        <x:f>IF(OR(H48="",O48=""),"",H48*O48)</x:f>
      </x:c>
      <x:c r="S48" s="99" t="str">
        <x:f>IF(G48="","",$B$2-G48)</x:f>
      </x:c>
      <x:c r="T48" s="99" t="str">
        <x:f>IF(S48="","",IF(S48&gt;=90,"90日以上",IF(S48&gt;=60,"60-89日","59日以下")))</x:f>
      </x:c>
      <x:c r="U48" s="99" t="str">
        <x:f>IF(O48="","",IF(O48&lt;0,"赤字",IF(AND(S48&gt;=90,H48&lt;=2),"要見直し",IF(P48&lt;0.15,"低利益","通常"))))</x:f>
      </x:c>
      <x:c r="V48" s="99" t="str">
        <x:f>IF(U48="","",IF(U48="赤字",100,0)+IF(S48&gt;=90,50,0)+IF(P48&lt;0.15,30,0)+IF(E48&gt;=15,10,0))</x:f>
      </x:c>
      <x:c r="W48" s="101" t="str">
        <x:f>IF(U48="","",IF(U48="赤字","価格・原価・送料を再確認",IF(AND(S48&gt;=90,H48&lt;=2),"値下げ・再出品・仕入停止を検討",IF(P48&lt;0.15,"送料・手数料を見直す","継続観察"))))</x:f>
      </x:c>
    </x:row>
    <x:row r="49">
      <x:c r="A49" s="95"/>
      <x:c r="B49" s="95"/>
      <x:c r="C49" s="95"/>
      <x:c r="D49" s="95"/>
      <x:c r="E49" s="95"/>
      <x:c r="F49" s="96"/>
      <x:c r="G49" s="96"/>
      <x:c r="H49" s="95"/>
      <x:c r="I49" s="97"/>
      <x:c r="J49" s="97"/>
      <x:c r="K49" s="98"/>
      <x:c r="L49" s="97"/>
      <x:c r="M49" s="97"/>
      <x:c r="N49" s="99" t="str">
        <x:f>IF(OR(I49="",K49=""),"",I49*K49)</x:f>
      </x:c>
      <x:c r="O49" s="99" t="str">
        <x:f>IF(OR(I49="",J49="",N49="",L49="",M49=""),"",I49-J49-N49-L49-M49)</x:f>
      </x:c>
      <x:c r="P49" s="100" t="str">
        <x:f>IFERROR(O49/I49,"")</x:f>
      </x:c>
      <x:c r="Q49" s="99" t="str">
        <x:f>IF(OR(H49="",I49=""),"",H49*I49)</x:f>
      </x:c>
      <x:c r="R49" s="99" t="str">
        <x:f>IF(OR(H49="",O49=""),"",H49*O49)</x:f>
      </x:c>
      <x:c r="S49" s="99" t="str">
        <x:f>IF(G49="","",$B$2-G49)</x:f>
      </x:c>
      <x:c r="T49" s="99" t="str">
        <x:f>IF(S49="","",IF(S49&gt;=90,"90日以上",IF(S49&gt;=60,"60-89日","59日以下")))</x:f>
      </x:c>
      <x:c r="U49" s="99" t="str">
        <x:f>IF(O49="","",IF(O49&lt;0,"赤字",IF(AND(S49&gt;=90,H49&lt;=2),"要見直し",IF(P49&lt;0.15,"低利益","通常"))))</x:f>
      </x:c>
      <x:c r="V49" s="99" t="str">
        <x:f>IF(U49="","",IF(U49="赤字",100,0)+IF(S49&gt;=90,50,0)+IF(P49&lt;0.15,30,0)+IF(E49&gt;=15,10,0))</x:f>
      </x:c>
      <x:c r="W49" s="101" t="str">
        <x:f>IF(U49="","",IF(U49="赤字","価格・原価・送料を再確認",IF(AND(S49&gt;=90,H49&lt;=2),"値下げ・再出品・仕入停止を検討",IF(P49&lt;0.15,"送料・手数料を見直す","継続観察"))))</x:f>
      </x:c>
    </x:row>
    <x:row r="50">
      <x:c r="A50" s="95"/>
      <x:c r="B50" s="95"/>
      <x:c r="C50" s="95"/>
      <x:c r="D50" s="95"/>
      <x:c r="E50" s="95"/>
      <x:c r="F50" s="96"/>
      <x:c r="G50" s="96"/>
      <x:c r="H50" s="95"/>
      <x:c r="I50" s="97"/>
      <x:c r="J50" s="97"/>
      <x:c r="K50" s="98"/>
      <x:c r="L50" s="97"/>
      <x:c r="M50" s="97"/>
      <x:c r="N50" s="99" t="str">
        <x:f>IF(OR(I50="",K50=""),"",I50*K50)</x:f>
      </x:c>
      <x:c r="O50" s="99" t="str">
        <x:f>IF(OR(I50="",J50="",N50="",L50="",M50=""),"",I50-J50-N50-L50-M50)</x:f>
      </x:c>
      <x:c r="P50" s="100" t="str">
        <x:f>IFERROR(O50/I50,"")</x:f>
      </x:c>
      <x:c r="Q50" s="99" t="str">
        <x:f>IF(OR(H50="",I50=""),"",H50*I50)</x:f>
      </x:c>
      <x:c r="R50" s="99" t="str">
        <x:f>IF(OR(H50="",O50=""),"",H50*O50)</x:f>
      </x:c>
      <x:c r="S50" s="99" t="str">
        <x:f>IF(G50="","",$B$2-G50)</x:f>
      </x:c>
      <x:c r="T50" s="99" t="str">
        <x:f>IF(S50="","",IF(S50&gt;=90,"90日以上",IF(S50&gt;=60,"60-89日","59日以下")))</x:f>
      </x:c>
      <x:c r="U50" s="99" t="str">
        <x:f>IF(O50="","",IF(O50&lt;0,"赤字",IF(AND(S50&gt;=90,H50&lt;=2),"要見直し",IF(P50&lt;0.15,"低利益","通常"))))</x:f>
      </x:c>
      <x:c r="V50" s="99" t="str">
        <x:f>IF(U50="","",IF(U50="赤字",100,0)+IF(S50&gt;=90,50,0)+IF(P50&lt;0.15,30,0)+IF(E50&gt;=15,10,0))</x:f>
      </x:c>
      <x:c r="W50" s="101" t="str">
        <x:f>IF(U50="","",IF(U50="赤字","価格・原価・送料を再確認",IF(AND(S50&gt;=90,H50&lt;=2),"値下げ・再出品・仕入停止を検討",IF(P50&lt;0.15,"送料・手数料を見直す","継続観察"))))</x:f>
      </x:c>
    </x:row>
    <x:row r="51">
      <x:c r="A51" s="95"/>
      <x:c r="B51" s="95"/>
      <x:c r="C51" s="95"/>
      <x:c r="D51" s="95"/>
      <x:c r="E51" s="95"/>
      <x:c r="F51" s="96"/>
      <x:c r="G51" s="96"/>
      <x:c r="H51" s="95"/>
      <x:c r="I51" s="97"/>
      <x:c r="J51" s="97"/>
      <x:c r="K51" s="98"/>
      <x:c r="L51" s="97"/>
      <x:c r="M51" s="97"/>
      <x:c r="N51" s="99" t="str">
        <x:f>IF(OR(I51="",K51=""),"",I51*K51)</x:f>
      </x:c>
      <x:c r="O51" s="99" t="str">
        <x:f>IF(OR(I51="",J51="",N51="",L51="",M51=""),"",I51-J51-N51-L51-M51)</x:f>
      </x:c>
      <x:c r="P51" s="100" t="str">
        <x:f>IFERROR(O51/I51,"")</x:f>
      </x:c>
      <x:c r="Q51" s="99" t="str">
        <x:f>IF(OR(H51="",I51=""),"",H51*I51)</x:f>
      </x:c>
      <x:c r="R51" s="99" t="str">
        <x:f>IF(OR(H51="",O51=""),"",H51*O51)</x:f>
      </x:c>
      <x:c r="S51" s="99" t="str">
        <x:f>IF(G51="","",$B$2-G51)</x:f>
      </x:c>
      <x:c r="T51" s="99" t="str">
        <x:f>IF(S51="","",IF(S51&gt;=90,"90日以上",IF(S51&gt;=60,"60-89日","59日以下")))</x:f>
      </x:c>
      <x:c r="U51" s="99" t="str">
        <x:f>IF(O51="","",IF(O51&lt;0,"赤字",IF(AND(S51&gt;=90,H51&lt;=2),"要見直し",IF(P51&lt;0.15,"低利益","通常"))))</x:f>
      </x:c>
      <x:c r="V51" s="99" t="str">
        <x:f>IF(U51="","",IF(U51="赤字",100,0)+IF(S51&gt;=90,50,0)+IF(P51&lt;0.15,30,0)+IF(E51&gt;=15,10,0))</x:f>
      </x:c>
      <x:c r="W51" s="101" t="str">
        <x:f>IF(U51="","",IF(U51="赤字","価格・原価・送料を再確認",IF(AND(S51&gt;=90,H51&lt;=2),"値下げ・再出品・仕入停止を検討",IF(P51&lt;0.15,"送料・手数料を見直す","継続観察"))))</x:f>
      </x:c>
    </x:row>
    <x:row r="52">
      <x:c r="A52" s="95"/>
      <x:c r="B52" s="95"/>
      <x:c r="C52" s="95"/>
      <x:c r="D52" s="95"/>
      <x:c r="E52" s="95"/>
      <x:c r="F52" s="96"/>
      <x:c r="G52" s="96"/>
      <x:c r="H52" s="95"/>
      <x:c r="I52" s="97"/>
      <x:c r="J52" s="97"/>
      <x:c r="K52" s="98"/>
      <x:c r="L52" s="97"/>
      <x:c r="M52" s="97"/>
      <x:c r="N52" s="99" t="str">
        <x:f>IF(OR(I52="",K52=""),"",I52*K52)</x:f>
      </x:c>
      <x:c r="O52" s="99" t="str">
        <x:f>IF(OR(I52="",J52="",N52="",L52="",M52=""),"",I52-J52-N52-L52-M52)</x:f>
      </x:c>
      <x:c r="P52" s="100" t="str">
        <x:f>IFERROR(O52/I52,"")</x:f>
      </x:c>
      <x:c r="Q52" s="99" t="str">
        <x:f>IF(OR(H52="",I52=""),"",H52*I52)</x:f>
      </x:c>
      <x:c r="R52" s="99" t="str">
        <x:f>IF(OR(H52="",O52=""),"",H52*O52)</x:f>
      </x:c>
      <x:c r="S52" s="99" t="str">
        <x:f>IF(G52="","",$B$2-G52)</x:f>
      </x:c>
      <x:c r="T52" s="99" t="str">
        <x:f>IF(S52="","",IF(S52&gt;=90,"90日以上",IF(S52&gt;=60,"60-89日","59日以下")))</x:f>
      </x:c>
      <x:c r="U52" s="99" t="str">
        <x:f>IF(O52="","",IF(O52&lt;0,"赤字",IF(AND(S52&gt;=90,H52&lt;=2),"要見直し",IF(P52&lt;0.15,"低利益","通常"))))</x:f>
      </x:c>
      <x:c r="V52" s="99" t="str">
        <x:f>IF(U52="","",IF(U52="赤字",100,0)+IF(S52&gt;=90,50,0)+IF(P52&lt;0.15,30,0)+IF(E52&gt;=15,10,0))</x:f>
      </x:c>
      <x:c r="W52" s="101" t="str">
        <x:f>IF(U52="","",IF(U52="赤字","価格・原価・送料を再確認",IF(AND(S52&gt;=90,H52&lt;=2),"値下げ・再出品・仕入停止を検討",IF(P52&lt;0.15,"送料・手数料を見直す","継続観察"))))</x:f>
      </x:c>
    </x:row>
    <x:row r="53">
      <x:c r="A53" s="95"/>
      <x:c r="B53" s="95"/>
      <x:c r="C53" s="95"/>
      <x:c r="D53" s="95"/>
      <x:c r="E53" s="95"/>
      <x:c r="F53" s="96"/>
      <x:c r="G53" s="96"/>
      <x:c r="H53" s="95"/>
      <x:c r="I53" s="97"/>
      <x:c r="J53" s="97"/>
      <x:c r="K53" s="98"/>
      <x:c r="L53" s="97"/>
      <x:c r="M53" s="97"/>
      <x:c r="N53" s="99" t="str">
        <x:f>IF(OR(I53="",K53=""),"",I53*K53)</x:f>
      </x:c>
      <x:c r="O53" s="99" t="str">
        <x:f>IF(OR(I53="",J53="",N53="",L53="",M53=""),"",I53-J53-N53-L53-M53)</x:f>
      </x:c>
      <x:c r="P53" s="100" t="str">
        <x:f>IFERROR(O53/I53,"")</x:f>
      </x:c>
      <x:c r="Q53" s="99" t="str">
        <x:f>IF(OR(H53="",I53=""),"",H53*I53)</x:f>
      </x:c>
      <x:c r="R53" s="99" t="str">
        <x:f>IF(OR(H53="",O53=""),"",H53*O53)</x:f>
      </x:c>
      <x:c r="S53" s="99" t="str">
        <x:f>IF(G53="","",$B$2-G53)</x:f>
      </x:c>
      <x:c r="T53" s="99" t="str">
        <x:f>IF(S53="","",IF(S53&gt;=90,"90日以上",IF(S53&gt;=60,"60-89日","59日以下")))</x:f>
      </x:c>
      <x:c r="U53" s="99" t="str">
        <x:f>IF(O53="","",IF(O53&lt;0,"赤字",IF(AND(S53&gt;=90,H53&lt;=2),"要見直し",IF(P53&lt;0.15,"低利益","通常"))))</x:f>
      </x:c>
      <x:c r="V53" s="99" t="str">
        <x:f>IF(U53="","",IF(U53="赤字",100,0)+IF(S53&gt;=90,50,0)+IF(P53&lt;0.15,30,0)+IF(E53&gt;=15,10,0))</x:f>
      </x:c>
      <x:c r="W53" s="101" t="str">
        <x:f>IF(U53="","",IF(U53="赤字","価格・原価・送料を再確認",IF(AND(S53&gt;=90,H53&lt;=2),"値下げ・再出品・仕入停止を検討",IF(P53&lt;0.15,"送料・手数料を見直す","継続観察"))))</x:f>
      </x:c>
    </x:row>
    <x:row r="54">
      <x:c r="A54" s="95"/>
      <x:c r="B54" s="95"/>
      <x:c r="C54" s="95"/>
      <x:c r="D54" s="95"/>
      <x:c r="E54" s="95"/>
      <x:c r="F54" s="96"/>
      <x:c r="G54" s="96"/>
      <x:c r="H54" s="95"/>
      <x:c r="I54" s="97"/>
      <x:c r="J54" s="97"/>
      <x:c r="K54" s="98"/>
      <x:c r="L54" s="97"/>
      <x:c r="M54" s="97"/>
      <x:c r="N54" s="99" t="str">
        <x:f>IF(OR(I54="",K54=""),"",I54*K54)</x:f>
      </x:c>
      <x:c r="O54" s="99" t="str">
        <x:f>IF(OR(I54="",J54="",N54="",L54="",M54=""),"",I54-J54-N54-L54-M54)</x:f>
      </x:c>
      <x:c r="P54" s="100" t="str">
        <x:f>IFERROR(O54/I54,"")</x:f>
      </x:c>
      <x:c r="Q54" s="99" t="str">
        <x:f>IF(OR(H54="",I54=""),"",H54*I54)</x:f>
      </x:c>
      <x:c r="R54" s="99" t="str">
        <x:f>IF(OR(H54="",O54=""),"",H54*O54)</x:f>
      </x:c>
      <x:c r="S54" s="99" t="str">
        <x:f>IF(G54="","",$B$2-G54)</x:f>
      </x:c>
      <x:c r="T54" s="99" t="str">
        <x:f>IF(S54="","",IF(S54&gt;=90,"90日以上",IF(S54&gt;=60,"60-89日","59日以下")))</x:f>
      </x:c>
      <x:c r="U54" s="99" t="str">
        <x:f>IF(O54="","",IF(O54&lt;0,"赤字",IF(AND(S54&gt;=90,H54&lt;=2),"要見直し",IF(P54&lt;0.15,"低利益","通常"))))</x:f>
      </x:c>
      <x:c r="V54" s="99" t="str">
        <x:f>IF(U54="","",IF(U54="赤字",100,0)+IF(S54&gt;=90,50,0)+IF(P54&lt;0.15,30,0)+IF(E54&gt;=15,10,0))</x:f>
      </x:c>
      <x:c r="W54" s="101" t="str">
        <x:f>IF(U54="","",IF(U54="赤字","価格・原価・送料を再確認",IF(AND(S54&gt;=90,H54&lt;=2),"値下げ・再出品・仕入停止を検討",IF(P54&lt;0.15,"送料・手数料を見直す","継続観察"))))</x:f>
      </x:c>
    </x:row>
    <x:row r="55">
      <x:c r="A55" s="95"/>
      <x:c r="B55" s="95"/>
      <x:c r="C55" s="95"/>
      <x:c r="D55" s="95"/>
      <x:c r="E55" s="95"/>
      <x:c r="F55" s="96"/>
      <x:c r="G55" s="96"/>
      <x:c r="H55" s="95"/>
      <x:c r="I55" s="97"/>
      <x:c r="J55" s="97"/>
      <x:c r="K55" s="98"/>
      <x:c r="L55" s="97"/>
      <x:c r="M55" s="97"/>
      <x:c r="N55" s="99" t="str">
        <x:f>IF(OR(I55="",K55=""),"",I55*K55)</x:f>
      </x:c>
      <x:c r="O55" s="99" t="str">
        <x:f>IF(OR(I55="",J55="",N55="",L55="",M55=""),"",I55-J55-N55-L55-M55)</x:f>
      </x:c>
      <x:c r="P55" s="100" t="str">
        <x:f>IFERROR(O55/I55,"")</x:f>
      </x:c>
      <x:c r="Q55" s="99" t="str">
        <x:f>IF(OR(H55="",I55=""),"",H55*I55)</x:f>
      </x:c>
      <x:c r="R55" s="99" t="str">
        <x:f>IF(OR(H55="",O55=""),"",H55*O55)</x:f>
      </x:c>
      <x:c r="S55" s="99" t="str">
        <x:f>IF(G55="","",$B$2-G55)</x:f>
      </x:c>
      <x:c r="T55" s="99" t="str">
        <x:f>IF(S55="","",IF(S55&gt;=90,"90日以上",IF(S55&gt;=60,"60-89日","59日以下")))</x:f>
      </x:c>
      <x:c r="U55" s="99" t="str">
        <x:f>IF(O55="","",IF(O55&lt;0,"赤字",IF(AND(S55&gt;=90,H55&lt;=2),"要見直し",IF(P55&lt;0.15,"低利益","通常"))))</x:f>
      </x:c>
      <x:c r="V55" s="99" t="str">
        <x:f>IF(U55="","",IF(U55="赤字",100,0)+IF(S55&gt;=90,50,0)+IF(P55&lt;0.15,30,0)+IF(E55&gt;=15,10,0))</x:f>
      </x:c>
      <x:c r="W55" s="101" t="str">
        <x:f>IF(U55="","",IF(U55="赤字","価格・原価・送料を再確認",IF(AND(S55&gt;=90,H55&lt;=2),"値下げ・再出品・仕入停止を検討",IF(P55&lt;0.15,"送料・手数料を見直す","継続観察"))))</x:f>
      </x:c>
    </x:row>
    <x:row r="56">
      <x:c r="A56" s="95"/>
      <x:c r="B56" s="95"/>
      <x:c r="C56" s="95"/>
      <x:c r="D56" s="95"/>
      <x:c r="E56" s="95"/>
      <x:c r="F56" s="96"/>
      <x:c r="G56" s="96"/>
      <x:c r="H56" s="95"/>
      <x:c r="I56" s="97"/>
      <x:c r="J56" s="97"/>
      <x:c r="K56" s="98"/>
      <x:c r="L56" s="97"/>
      <x:c r="M56" s="97"/>
      <x:c r="N56" s="99" t="str">
        <x:f>IF(OR(I56="",K56=""),"",I56*K56)</x:f>
      </x:c>
      <x:c r="O56" s="99" t="str">
        <x:f>IF(OR(I56="",J56="",N56="",L56="",M56=""),"",I56-J56-N56-L56-M56)</x:f>
      </x:c>
      <x:c r="P56" s="100" t="str">
        <x:f>IFERROR(O56/I56,"")</x:f>
      </x:c>
      <x:c r="Q56" s="99" t="str">
        <x:f>IF(OR(H56="",I56=""),"",H56*I56)</x:f>
      </x:c>
      <x:c r="R56" s="99" t="str">
        <x:f>IF(OR(H56="",O56=""),"",H56*O56)</x:f>
      </x:c>
      <x:c r="S56" s="99" t="str">
        <x:f>IF(G56="","",$B$2-G56)</x:f>
      </x:c>
      <x:c r="T56" s="99" t="str">
        <x:f>IF(S56="","",IF(S56&gt;=90,"90日以上",IF(S56&gt;=60,"60-89日","59日以下")))</x:f>
      </x:c>
      <x:c r="U56" s="99" t="str">
        <x:f>IF(O56="","",IF(O56&lt;0,"赤字",IF(AND(S56&gt;=90,H56&lt;=2),"要見直し",IF(P56&lt;0.15,"低利益","通常"))))</x:f>
      </x:c>
      <x:c r="V56" s="99" t="str">
        <x:f>IF(U56="","",IF(U56="赤字",100,0)+IF(S56&gt;=90,50,0)+IF(P56&lt;0.15,30,0)+IF(E56&gt;=15,10,0))</x:f>
      </x:c>
      <x:c r="W56" s="101" t="str">
        <x:f>IF(U56="","",IF(U56="赤字","価格・原価・送料を再確認",IF(AND(S56&gt;=90,H56&lt;=2),"値下げ・再出品・仕入停止を検討",IF(P56&lt;0.15,"送料・手数料を見直す","継続観察"))))</x:f>
      </x:c>
    </x:row>
    <x:row r="57">
      <x:c r="A57" s="95"/>
      <x:c r="B57" s="95"/>
      <x:c r="C57" s="95"/>
      <x:c r="D57" s="95"/>
      <x:c r="E57" s="95"/>
      <x:c r="F57" s="96"/>
      <x:c r="G57" s="96"/>
      <x:c r="H57" s="95"/>
      <x:c r="I57" s="97"/>
      <x:c r="J57" s="97"/>
      <x:c r="K57" s="98"/>
      <x:c r="L57" s="97"/>
      <x:c r="M57" s="97"/>
      <x:c r="N57" s="99" t="str">
        <x:f>IF(OR(I57="",K57=""),"",I57*K57)</x:f>
      </x:c>
      <x:c r="O57" s="99" t="str">
        <x:f>IF(OR(I57="",J57="",N57="",L57="",M57=""),"",I57-J57-N57-L57-M57)</x:f>
      </x:c>
      <x:c r="P57" s="100" t="str">
        <x:f>IFERROR(O57/I57,"")</x:f>
      </x:c>
      <x:c r="Q57" s="99" t="str">
        <x:f>IF(OR(H57="",I57=""),"",H57*I57)</x:f>
      </x:c>
      <x:c r="R57" s="99" t="str">
        <x:f>IF(OR(H57="",O57=""),"",H57*O57)</x:f>
      </x:c>
      <x:c r="S57" s="99" t="str">
        <x:f>IF(G57="","",$B$2-G57)</x:f>
      </x:c>
      <x:c r="T57" s="99" t="str">
        <x:f>IF(S57="","",IF(S57&gt;=90,"90日以上",IF(S57&gt;=60,"60-89日","59日以下")))</x:f>
      </x:c>
      <x:c r="U57" s="99" t="str">
        <x:f>IF(O57="","",IF(O57&lt;0,"赤字",IF(AND(S57&gt;=90,H57&lt;=2),"要見直し",IF(P57&lt;0.15,"低利益","通常"))))</x:f>
      </x:c>
      <x:c r="V57" s="99" t="str">
        <x:f>IF(U57="","",IF(U57="赤字",100,0)+IF(S57&gt;=90,50,0)+IF(P57&lt;0.15,30,0)+IF(E57&gt;=15,10,0))</x:f>
      </x:c>
      <x:c r="W57" s="101" t="str">
        <x:f>IF(U57="","",IF(U57="赤字","価格・原価・送料を再確認",IF(AND(S57&gt;=90,H57&lt;=2),"値下げ・再出品・仕入停止を検討",IF(P57&lt;0.15,"送料・手数料を見直す","継続観察"))))</x:f>
      </x:c>
    </x:row>
    <x:row r="58">
      <x:c r="A58" s="95"/>
      <x:c r="B58" s="95"/>
      <x:c r="C58" s="95"/>
      <x:c r="D58" s="95"/>
      <x:c r="E58" s="95"/>
      <x:c r="F58" s="96"/>
      <x:c r="G58" s="96"/>
      <x:c r="H58" s="95"/>
      <x:c r="I58" s="97"/>
      <x:c r="J58" s="97"/>
      <x:c r="K58" s="98"/>
      <x:c r="L58" s="97"/>
      <x:c r="M58" s="97"/>
      <x:c r="N58" s="99" t="str">
        <x:f>IF(OR(I58="",K58=""),"",I58*K58)</x:f>
      </x:c>
      <x:c r="O58" s="99" t="str">
        <x:f>IF(OR(I58="",J58="",N58="",L58="",M58=""),"",I58-J58-N58-L58-M58)</x:f>
      </x:c>
      <x:c r="P58" s="100" t="str">
        <x:f>IFERROR(O58/I58,"")</x:f>
      </x:c>
      <x:c r="Q58" s="99" t="str">
        <x:f>IF(OR(H58="",I58=""),"",H58*I58)</x:f>
      </x:c>
      <x:c r="R58" s="99" t="str">
        <x:f>IF(OR(H58="",O58=""),"",H58*O58)</x:f>
      </x:c>
      <x:c r="S58" s="99" t="str">
        <x:f>IF(G58="","",$B$2-G58)</x:f>
      </x:c>
      <x:c r="T58" s="99" t="str">
        <x:f>IF(S58="","",IF(S58&gt;=90,"90日以上",IF(S58&gt;=60,"60-89日","59日以下")))</x:f>
      </x:c>
      <x:c r="U58" s="99" t="str">
        <x:f>IF(O58="","",IF(O58&lt;0,"赤字",IF(AND(S58&gt;=90,H58&lt;=2),"要見直し",IF(P58&lt;0.15,"低利益","通常"))))</x:f>
      </x:c>
      <x:c r="V58" s="99" t="str">
        <x:f>IF(U58="","",IF(U58="赤字",100,0)+IF(S58&gt;=90,50,0)+IF(P58&lt;0.15,30,0)+IF(E58&gt;=15,10,0))</x:f>
      </x:c>
      <x:c r="W58" s="101" t="str">
        <x:f>IF(U58="","",IF(U58="赤字","価格・原価・送料を再確認",IF(AND(S58&gt;=90,H58&lt;=2),"値下げ・再出品・仕入停止を検討",IF(P58&lt;0.15,"送料・手数料を見直す","継続観察"))))</x:f>
      </x:c>
    </x:row>
    <x:row r="59">
      <x:c r="A59" s="95"/>
      <x:c r="B59" s="95"/>
      <x:c r="C59" s="95"/>
      <x:c r="D59" s="95"/>
      <x:c r="E59" s="95"/>
      <x:c r="F59" s="96"/>
      <x:c r="G59" s="96"/>
      <x:c r="H59" s="95"/>
      <x:c r="I59" s="97"/>
      <x:c r="J59" s="97"/>
      <x:c r="K59" s="98"/>
      <x:c r="L59" s="97"/>
      <x:c r="M59" s="97"/>
      <x:c r="N59" s="99" t="str">
        <x:f>IF(OR(I59="",K59=""),"",I59*K59)</x:f>
      </x:c>
      <x:c r="O59" s="99" t="str">
        <x:f>IF(OR(I59="",J59="",N59="",L59="",M59=""),"",I59-J59-N59-L59-M59)</x:f>
      </x:c>
      <x:c r="P59" s="100" t="str">
        <x:f>IFERROR(O59/I59,"")</x:f>
      </x:c>
      <x:c r="Q59" s="99" t="str">
        <x:f>IF(OR(H59="",I59=""),"",H59*I59)</x:f>
      </x:c>
      <x:c r="R59" s="99" t="str">
        <x:f>IF(OR(H59="",O59=""),"",H59*O59)</x:f>
      </x:c>
      <x:c r="S59" s="99" t="str">
        <x:f>IF(G59="","",$B$2-G59)</x:f>
      </x:c>
      <x:c r="T59" s="99" t="str">
        <x:f>IF(S59="","",IF(S59&gt;=90,"90日以上",IF(S59&gt;=60,"60-89日","59日以下")))</x:f>
      </x:c>
      <x:c r="U59" s="99" t="str">
        <x:f>IF(O59="","",IF(O59&lt;0,"赤字",IF(AND(S59&gt;=90,H59&lt;=2),"要見直し",IF(P59&lt;0.15,"低利益","通常"))))</x:f>
      </x:c>
      <x:c r="V59" s="99" t="str">
        <x:f>IF(U59="","",IF(U59="赤字",100,0)+IF(S59&gt;=90,50,0)+IF(P59&lt;0.15,30,0)+IF(E59&gt;=15,10,0))</x:f>
      </x:c>
      <x:c r="W59" s="101" t="str">
        <x:f>IF(U59="","",IF(U59="赤字","価格・原価・送料を再確認",IF(AND(S59&gt;=90,H59&lt;=2),"値下げ・再出品・仕入停止を検討",IF(P59&lt;0.15,"送料・手数料を見直す","継続観察"))))</x:f>
      </x:c>
    </x:row>
    <x:row r="60">
      <x:c r="A60" s="95"/>
      <x:c r="B60" s="95"/>
      <x:c r="C60" s="95"/>
      <x:c r="D60" s="95"/>
      <x:c r="E60" s="95"/>
      <x:c r="F60" s="96"/>
      <x:c r="G60" s="96"/>
      <x:c r="H60" s="95"/>
      <x:c r="I60" s="97"/>
      <x:c r="J60" s="97"/>
      <x:c r="K60" s="98"/>
      <x:c r="L60" s="97"/>
      <x:c r="M60" s="97"/>
      <x:c r="N60" s="99" t="str">
        <x:f>IF(OR(I60="",K60=""),"",I60*K60)</x:f>
      </x:c>
      <x:c r="O60" s="99" t="str">
        <x:f>IF(OR(I60="",J60="",N60="",L60="",M60=""),"",I60-J60-N60-L60-M60)</x:f>
      </x:c>
      <x:c r="P60" s="100" t="str">
        <x:f>IFERROR(O60/I60,"")</x:f>
      </x:c>
      <x:c r="Q60" s="99" t="str">
        <x:f>IF(OR(H60="",I60=""),"",H60*I60)</x:f>
      </x:c>
      <x:c r="R60" s="99" t="str">
        <x:f>IF(OR(H60="",O60=""),"",H60*O60)</x:f>
      </x:c>
      <x:c r="S60" s="99" t="str">
        <x:f>IF(G60="","",$B$2-G60)</x:f>
      </x:c>
      <x:c r="T60" s="99" t="str">
        <x:f>IF(S60="","",IF(S60&gt;=90,"90日以上",IF(S60&gt;=60,"60-89日","59日以下")))</x:f>
      </x:c>
      <x:c r="U60" s="99" t="str">
        <x:f>IF(O60="","",IF(O60&lt;0,"赤字",IF(AND(S60&gt;=90,H60&lt;=2),"要見直し",IF(P60&lt;0.15,"低利益","通常"))))</x:f>
      </x:c>
      <x:c r="V60" s="99" t="str">
        <x:f>IF(U60="","",IF(U60="赤字",100,0)+IF(S60&gt;=90,50,0)+IF(P60&lt;0.15,30,0)+IF(E60&gt;=15,10,0))</x:f>
      </x:c>
      <x:c r="W60" s="101" t="str">
        <x:f>IF(U60="","",IF(U60="赤字","価格・原価・送料を再確認",IF(AND(S60&gt;=90,H60&lt;=2),"値下げ・再出品・仕入停止を検討",IF(P60&lt;0.15,"送料・手数料を見直す","継続観察"))))</x:f>
      </x:c>
    </x:row>
    <x:row r="61">
      <x:c r="A61" s="95"/>
      <x:c r="B61" s="95"/>
      <x:c r="C61" s="95"/>
      <x:c r="D61" s="95"/>
      <x:c r="E61" s="95"/>
      <x:c r="F61" s="96"/>
      <x:c r="G61" s="96"/>
      <x:c r="H61" s="95"/>
      <x:c r="I61" s="97"/>
      <x:c r="J61" s="97"/>
      <x:c r="K61" s="98"/>
      <x:c r="L61" s="97"/>
      <x:c r="M61" s="97"/>
      <x:c r="N61" s="99" t="str">
        <x:f>IF(OR(I61="",K61=""),"",I61*K61)</x:f>
      </x:c>
      <x:c r="O61" s="99" t="str">
        <x:f>IF(OR(I61="",J61="",N61="",L61="",M61=""),"",I61-J61-N61-L61-M61)</x:f>
      </x:c>
      <x:c r="P61" s="100" t="str">
        <x:f>IFERROR(O61/I61,"")</x:f>
      </x:c>
      <x:c r="Q61" s="99" t="str">
        <x:f>IF(OR(H61="",I61=""),"",H61*I61)</x:f>
      </x:c>
      <x:c r="R61" s="99" t="str">
        <x:f>IF(OR(H61="",O61=""),"",H61*O61)</x:f>
      </x:c>
      <x:c r="S61" s="99" t="str">
        <x:f>IF(G61="","",$B$2-G61)</x:f>
      </x:c>
      <x:c r="T61" s="99" t="str">
        <x:f>IF(S61="","",IF(S61&gt;=90,"90日以上",IF(S61&gt;=60,"60-89日","59日以下")))</x:f>
      </x:c>
      <x:c r="U61" s="99" t="str">
        <x:f>IF(O61="","",IF(O61&lt;0,"赤字",IF(AND(S61&gt;=90,H61&lt;=2),"要見直し",IF(P61&lt;0.15,"低利益","通常"))))</x:f>
      </x:c>
      <x:c r="V61" s="99" t="str">
        <x:f>IF(U61="","",IF(U61="赤字",100,0)+IF(S61&gt;=90,50,0)+IF(P61&lt;0.15,30,0)+IF(E61&gt;=15,10,0))</x:f>
      </x:c>
      <x:c r="W61" s="101" t="str">
        <x:f>IF(U61="","",IF(U61="赤字","価格・原価・送料を再確認",IF(AND(S61&gt;=90,H61&lt;=2),"値下げ・再出品・仕入停止を検討",IF(P61&lt;0.15,"送料・手数料を見直す","継続観察"))))</x:f>
      </x:c>
    </x:row>
    <x:row r="62">
      <x:c r="A62" s="95"/>
      <x:c r="B62" s="95"/>
      <x:c r="C62" s="95"/>
      <x:c r="D62" s="95"/>
      <x:c r="E62" s="95"/>
      <x:c r="F62" s="96"/>
      <x:c r="G62" s="96"/>
      <x:c r="H62" s="95"/>
      <x:c r="I62" s="97"/>
      <x:c r="J62" s="97"/>
      <x:c r="K62" s="98"/>
      <x:c r="L62" s="97"/>
      <x:c r="M62" s="97"/>
      <x:c r="N62" s="99" t="str">
        <x:f>IF(OR(I62="",K62=""),"",I62*K62)</x:f>
      </x:c>
      <x:c r="O62" s="99" t="str">
        <x:f>IF(OR(I62="",J62="",N62="",L62="",M62=""),"",I62-J62-N62-L62-M62)</x:f>
      </x:c>
      <x:c r="P62" s="100" t="str">
        <x:f>IFERROR(O62/I62,"")</x:f>
      </x:c>
      <x:c r="Q62" s="99" t="str">
        <x:f>IF(OR(H62="",I62=""),"",H62*I62)</x:f>
      </x:c>
      <x:c r="R62" s="99" t="str">
        <x:f>IF(OR(H62="",O62=""),"",H62*O62)</x:f>
      </x:c>
      <x:c r="S62" s="99" t="str">
        <x:f>IF(G62="","",$B$2-G62)</x:f>
      </x:c>
      <x:c r="T62" s="99" t="str">
        <x:f>IF(S62="","",IF(S62&gt;=90,"90日以上",IF(S62&gt;=60,"60-89日","59日以下")))</x:f>
      </x:c>
      <x:c r="U62" s="99" t="str">
        <x:f>IF(O62="","",IF(O62&lt;0,"赤字",IF(AND(S62&gt;=90,H62&lt;=2),"要見直し",IF(P62&lt;0.15,"低利益","通常"))))</x:f>
      </x:c>
      <x:c r="V62" s="99" t="str">
        <x:f>IF(U62="","",IF(U62="赤字",100,0)+IF(S62&gt;=90,50,0)+IF(P62&lt;0.15,30,0)+IF(E62&gt;=15,10,0))</x:f>
      </x:c>
      <x:c r="W62" s="101" t="str">
        <x:f>IF(U62="","",IF(U62="赤字","価格・原価・送料を再確認",IF(AND(S62&gt;=90,H62&lt;=2),"値下げ・再出品・仕入停止を検討",IF(P62&lt;0.15,"送料・手数料を見直す","継続観察"))))</x:f>
      </x:c>
    </x:row>
    <x:row r="63">
      <x:c r="A63" s="95"/>
      <x:c r="B63" s="95"/>
      <x:c r="C63" s="95"/>
      <x:c r="D63" s="95"/>
      <x:c r="E63" s="95"/>
      <x:c r="F63" s="96"/>
      <x:c r="G63" s="96"/>
      <x:c r="H63" s="95"/>
      <x:c r="I63" s="97"/>
      <x:c r="J63" s="97"/>
      <x:c r="K63" s="98"/>
      <x:c r="L63" s="97"/>
      <x:c r="M63" s="97"/>
      <x:c r="N63" s="99" t="str">
        <x:f>IF(OR(I63="",K63=""),"",I63*K63)</x:f>
      </x:c>
      <x:c r="O63" s="99" t="str">
        <x:f>IF(OR(I63="",J63="",N63="",L63="",M63=""),"",I63-J63-N63-L63-M63)</x:f>
      </x:c>
      <x:c r="P63" s="100" t="str">
        <x:f>IFERROR(O63/I63,"")</x:f>
      </x:c>
      <x:c r="Q63" s="99" t="str">
        <x:f>IF(OR(H63="",I63=""),"",H63*I63)</x:f>
      </x:c>
      <x:c r="R63" s="99" t="str">
        <x:f>IF(OR(H63="",O63=""),"",H63*O63)</x:f>
      </x:c>
      <x:c r="S63" s="99" t="str">
        <x:f>IF(G63="","",$B$2-G63)</x:f>
      </x:c>
      <x:c r="T63" s="99" t="str">
        <x:f>IF(S63="","",IF(S63&gt;=90,"90日以上",IF(S63&gt;=60,"60-89日","59日以下")))</x:f>
      </x:c>
      <x:c r="U63" s="99" t="str">
        <x:f>IF(O63="","",IF(O63&lt;0,"赤字",IF(AND(S63&gt;=90,H63&lt;=2),"要見直し",IF(P63&lt;0.15,"低利益","通常"))))</x:f>
      </x:c>
      <x:c r="V63" s="99" t="str">
        <x:f>IF(U63="","",IF(U63="赤字",100,0)+IF(S63&gt;=90,50,0)+IF(P63&lt;0.15,30,0)+IF(E63&gt;=15,10,0))</x:f>
      </x:c>
      <x:c r="W63" s="101" t="str">
        <x:f>IF(U63="","",IF(U63="赤字","価格・原価・送料を再確認",IF(AND(S63&gt;=90,H63&lt;=2),"値下げ・再出品・仕入停止を検討",IF(P63&lt;0.15,"送料・手数料を見直す","継続観察"))))</x:f>
      </x:c>
    </x:row>
    <x:row r="64">
      <x:c r="A64" s="95"/>
      <x:c r="B64" s="95"/>
      <x:c r="C64" s="95"/>
      <x:c r="D64" s="95"/>
      <x:c r="E64" s="95"/>
      <x:c r="F64" s="96"/>
      <x:c r="G64" s="96"/>
      <x:c r="H64" s="95"/>
      <x:c r="I64" s="97"/>
      <x:c r="J64" s="97"/>
      <x:c r="K64" s="98"/>
      <x:c r="L64" s="97"/>
      <x:c r="M64" s="97"/>
      <x:c r="N64" s="99" t="str">
        <x:f>IF(OR(I64="",K64=""),"",I64*K64)</x:f>
      </x:c>
      <x:c r="O64" s="99" t="str">
        <x:f>IF(OR(I64="",J64="",N64="",L64="",M64=""),"",I64-J64-N64-L64-M64)</x:f>
      </x:c>
      <x:c r="P64" s="100" t="str">
        <x:f>IFERROR(O64/I64,"")</x:f>
      </x:c>
      <x:c r="Q64" s="99" t="str">
        <x:f>IF(OR(H64="",I64=""),"",H64*I64)</x:f>
      </x:c>
      <x:c r="R64" s="99" t="str">
        <x:f>IF(OR(H64="",O64=""),"",H64*O64)</x:f>
      </x:c>
      <x:c r="S64" s="99" t="str">
        <x:f>IF(G64="","",$B$2-G64)</x:f>
      </x:c>
      <x:c r="T64" s="99" t="str">
        <x:f>IF(S64="","",IF(S64&gt;=90,"90日以上",IF(S64&gt;=60,"60-89日","59日以下")))</x:f>
      </x:c>
      <x:c r="U64" s="99" t="str">
        <x:f>IF(O64="","",IF(O64&lt;0,"赤字",IF(AND(S64&gt;=90,H64&lt;=2),"要見直し",IF(P64&lt;0.15,"低利益","通常"))))</x:f>
      </x:c>
      <x:c r="V64" s="99" t="str">
        <x:f>IF(U64="","",IF(U64="赤字",100,0)+IF(S64&gt;=90,50,0)+IF(P64&lt;0.15,30,0)+IF(E64&gt;=15,10,0))</x:f>
      </x:c>
      <x:c r="W64" s="101" t="str">
        <x:f>IF(U64="","",IF(U64="赤字","価格・原価・送料を再確認",IF(AND(S64&gt;=90,H64&lt;=2),"値下げ・再出品・仕入停止を検討",IF(P64&lt;0.15,"送料・手数料を見直す","継続観察"))))</x:f>
      </x:c>
    </x:row>
    <x:row r="65">
      <x:c r="A65" s="95"/>
      <x:c r="B65" s="95"/>
      <x:c r="C65" s="95"/>
      <x:c r="D65" s="95"/>
      <x:c r="E65" s="95"/>
      <x:c r="F65" s="96"/>
      <x:c r="G65" s="96"/>
      <x:c r="H65" s="95"/>
      <x:c r="I65" s="97"/>
      <x:c r="J65" s="97"/>
      <x:c r="K65" s="98"/>
      <x:c r="L65" s="97"/>
      <x:c r="M65" s="97"/>
      <x:c r="N65" s="99" t="str">
        <x:f>IF(OR(I65="",K65=""),"",I65*K65)</x:f>
      </x:c>
      <x:c r="O65" s="99" t="str">
        <x:f>IF(OR(I65="",J65="",N65="",L65="",M65=""),"",I65-J65-N65-L65-M65)</x:f>
      </x:c>
      <x:c r="P65" s="100" t="str">
        <x:f>IFERROR(O65/I65,"")</x:f>
      </x:c>
      <x:c r="Q65" s="99" t="str">
        <x:f>IF(OR(H65="",I65=""),"",H65*I65)</x:f>
      </x:c>
      <x:c r="R65" s="99" t="str">
        <x:f>IF(OR(H65="",O65=""),"",H65*O65)</x:f>
      </x:c>
      <x:c r="S65" s="99" t="str">
        <x:f>IF(G65="","",$B$2-G65)</x:f>
      </x:c>
      <x:c r="T65" s="99" t="str">
        <x:f>IF(S65="","",IF(S65&gt;=90,"90日以上",IF(S65&gt;=60,"60-89日","59日以下")))</x:f>
      </x:c>
      <x:c r="U65" s="99" t="str">
        <x:f>IF(O65="","",IF(O65&lt;0,"赤字",IF(AND(S65&gt;=90,H65&lt;=2),"要見直し",IF(P65&lt;0.15,"低利益","通常"))))</x:f>
      </x:c>
      <x:c r="V65" s="99" t="str">
        <x:f>IF(U65="","",IF(U65="赤字",100,0)+IF(S65&gt;=90,50,0)+IF(P65&lt;0.15,30,0)+IF(E65&gt;=15,10,0))</x:f>
      </x:c>
      <x:c r="W65" s="101" t="str">
        <x:f>IF(U65="","",IF(U65="赤字","価格・原価・送料を再確認",IF(AND(S65&gt;=90,H65&lt;=2),"値下げ・再出品・仕入停止を検討",IF(P65&lt;0.15,"送料・手数料を見直す","継続観察"))))</x:f>
      </x:c>
    </x:row>
    <x:row r="66">
      <x:c r="A66" s="95"/>
      <x:c r="B66" s="95"/>
      <x:c r="C66" s="95"/>
      <x:c r="D66" s="95"/>
      <x:c r="E66" s="95"/>
      <x:c r="F66" s="96"/>
      <x:c r="G66" s="96"/>
      <x:c r="H66" s="95"/>
      <x:c r="I66" s="97"/>
      <x:c r="J66" s="97"/>
      <x:c r="K66" s="98"/>
      <x:c r="L66" s="97"/>
      <x:c r="M66" s="97"/>
      <x:c r="N66" s="99" t="str">
        <x:f>IF(OR(I66="",K66=""),"",I66*K66)</x:f>
      </x:c>
      <x:c r="O66" s="99" t="str">
        <x:f>IF(OR(I66="",J66="",N66="",L66="",M66=""),"",I66-J66-N66-L66-M66)</x:f>
      </x:c>
      <x:c r="P66" s="100" t="str">
        <x:f>IFERROR(O66/I66,"")</x:f>
      </x:c>
      <x:c r="Q66" s="99" t="str">
        <x:f>IF(OR(H66="",I66=""),"",H66*I66)</x:f>
      </x:c>
      <x:c r="R66" s="99" t="str">
        <x:f>IF(OR(H66="",O66=""),"",H66*O66)</x:f>
      </x:c>
      <x:c r="S66" s="99" t="str">
        <x:f>IF(G66="","",$B$2-G66)</x:f>
      </x:c>
      <x:c r="T66" s="99" t="str">
        <x:f>IF(S66="","",IF(S66&gt;=90,"90日以上",IF(S66&gt;=60,"60-89日","59日以下")))</x:f>
      </x:c>
      <x:c r="U66" s="99" t="str">
        <x:f>IF(O66="","",IF(O66&lt;0,"赤字",IF(AND(S66&gt;=90,H66&lt;=2),"要見直し",IF(P66&lt;0.15,"低利益","通常"))))</x:f>
      </x:c>
      <x:c r="V66" s="99" t="str">
        <x:f>IF(U66="","",IF(U66="赤字",100,0)+IF(S66&gt;=90,50,0)+IF(P66&lt;0.15,30,0)+IF(E66&gt;=15,10,0))</x:f>
      </x:c>
      <x:c r="W66" s="101" t="str">
        <x:f>IF(U66="","",IF(U66="赤字","価格・原価・送料を再確認",IF(AND(S66&gt;=90,H66&lt;=2),"値下げ・再出品・仕入停止を検討",IF(P66&lt;0.15,"送料・手数料を見直す","継続観察"))))</x:f>
      </x:c>
    </x:row>
    <x:row r="67">
      <x:c r="A67" s="95"/>
      <x:c r="B67" s="95"/>
      <x:c r="C67" s="95"/>
      <x:c r="D67" s="95"/>
      <x:c r="E67" s="95"/>
      <x:c r="F67" s="96"/>
      <x:c r="G67" s="96"/>
      <x:c r="H67" s="95"/>
      <x:c r="I67" s="97"/>
      <x:c r="J67" s="97"/>
      <x:c r="K67" s="98"/>
      <x:c r="L67" s="97"/>
      <x:c r="M67" s="97"/>
      <x:c r="N67" s="99" t="str">
        <x:f>IF(OR(I67="",K67=""),"",I67*K67)</x:f>
      </x:c>
      <x:c r="O67" s="99" t="str">
        <x:f>IF(OR(I67="",J67="",N67="",L67="",M67=""),"",I67-J67-N67-L67-M67)</x:f>
      </x:c>
      <x:c r="P67" s="100" t="str">
        <x:f>IFERROR(O67/I67,"")</x:f>
      </x:c>
      <x:c r="Q67" s="99" t="str">
        <x:f>IF(OR(H67="",I67=""),"",H67*I67)</x:f>
      </x:c>
      <x:c r="R67" s="99" t="str">
        <x:f>IF(OR(H67="",O67=""),"",H67*O67)</x:f>
      </x:c>
      <x:c r="S67" s="99" t="str">
        <x:f>IF(G67="","",$B$2-G67)</x:f>
      </x:c>
      <x:c r="T67" s="99" t="str">
        <x:f>IF(S67="","",IF(S67&gt;=90,"90日以上",IF(S67&gt;=60,"60-89日","59日以下")))</x:f>
      </x:c>
      <x:c r="U67" s="99" t="str">
        <x:f>IF(O67="","",IF(O67&lt;0,"赤字",IF(AND(S67&gt;=90,H67&lt;=2),"要見直し",IF(P67&lt;0.15,"低利益","通常"))))</x:f>
      </x:c>
      <x:c r="V67" s="99" t="str">
        <x:f>IF(U67="","",IF(U67="赤字",100,0)+IF(S67&gt;=90,50,0)+IF(P67&lt;0.15,30,0)+IF(E67&gt;=15,10,0))</x:f>
      </x:c>
      <x:c r="W67" s="101" t="str">
        <x:f>IF(U67="","",IF(U67="赤字","価格・原価・送料を再確認",IF(AND(S67&gt;=90,H67&lt;=2),"値下げ・再出品・仕入停止を検討",IF(P67&lt;0.15,"送料・手数料を見直す","継続観察"))))</x:f>
      </x:c>
    </x:row>
    <x:row r="68">
      <x:c r="A68" s="95"/>
      <x:c r="B68" s="95"/>
      <x:c r="C68" s="95"/>
      <x:c r="D68" s="95"/>
      <x:c r="E68" s="95"/>
      <x:c r="F68" s="96"/>
      <x:c r="G68" s="96"/>
      <x:c r="H68" s="95"/>
      <x:c r="I68" s="97"/>
      <x:c r="J68" s="97"/>
      <x:c r="K68" s="98"/>
      <x:c r="L68" s="97"/>
      <x:c r="M68" s="97"/>
      <x:c r="N68" s="99" t="str">
        <x:f>IF(OR(I68="",K68=""),"",I68*K68)</x:f>
      </x:c>
      <x:c r="O68" s="99" t="str">
        <x:f>IF(OR(I68="",J68="",N68="",L68="",M68=""),"",I68-J68-N68-L68-M68)</x:f>
      </x:c>
      <x:c r="P68" s="100" t="str">
        <x:f>IFERROR(O68/I68,"")</x:f>
      </x:c>
      <x:c r="Q68" s="99" t="str">
        <x:f>IF(OR(H68="",I68=""),"",H68*I68)</x:f>
      </x:c>
      <x:c r="R68" s="99" t="str">
        <x:f>IF(OR(H68="",O68=""),"",H68*O68)</x:f>
      </x:c>
      <x:c r="S68" s="99" t="str">
        <x:f>IF(G68="","",$B$2-G68)</x:f>
      </x:c>
      <x:c r="T68" s="99" t="str">
        <x:f>IF(S68="","",IF(S68&gt;=90,"90日以上",IF(S68&gt;=60,"60-89日","59日以下")))</x:f>
      </x:c>
      <x:c r="U68" s="99" t="str">
        <x:f>IF(O68="","",IF(O68&lt;0,"赤字",IF(AND(S68&gt;=90,H68&lt;=2),"要見直し",IF(P68&lt;0.15,"低利益","通常"))))</x:f>
      </x:c>
      <x:c r="V68" s="99" t="str">
        <x:f>IF(U68="","",IF(U68="赤字",100,0)+IF(S68&gt;=90,50,0)+IF(P68&lt;0.15,30,0)+IF(E68&gt;=15,10,0))</x:f>
      </x:c>
      <x:c r="W68" s="101" t="str">
        <x:f>IF(U68="","",IF(U68="赤字","価格・原価・送料を再確認",IF(AND(S68&gt;=90,H68&lt;=2),"値下げ・再出品・仕入停止を検討",IF(P68&lt;0.15,"送料・手数料を見直す","継続観察"))))</x:f>
      </x:c>
    </x:row>
    <x:row r="69">
      <x:c r="A69" s="95"/>
      <x:c r="B69" s="95"/>
      <x:c r="C69" s="95"/>
      <x:c r="D69" s="95"/>
      <x:c r="E69" s="95"/>
      <x:c r="F69" s="96"/>
      <x:c r="G69" s="96"/>
      <x:c r="H69" s="95"/>
      <x:c r="I69" s="97"/>
      <x:c r="J69" s="97"/>
      <x:c r="K69" s="98"/>
      <x:c r="L69" s="97"/>
      <x:c r="M69" s="97"/>
      <x:c r="N69" s="99" t="str">
        <x:f>IF(OR(I69="",K69=""),"",I69*K69)</x:f>
      </x:c>
      <x:c r="O69" s="99" t="str">
        <x:f>IF(OR(I69="",J69="",N69="",L69="",M69=""),"",I69-J69-N69-L69-M69)</x:f>
      </x:c>
      <x:c r="P69" s="100" t="str">
        <x:f>IFERROR(O69/I69,"")</x:f>
      </x:c>
      <x:c r="Q69" s="99" t="str">
        <x:f>IF(OR(H69="",I69=""),"",H69*I69)</x:f>
      </x:c>
      <x:c r="R69" s="99" t="str">
        <x:f>IF(OR(H69="",O69=""),"",H69*O69)</x:f>
      </x:c>
      <x:c r="S69" s="99" t="str">
        <x:f>IF(G69="","",$B$2-G69)</x:f>
      </x:c>
      <x:c r="T69" s="99" t="str">
        <x:f>IF(S69="","",IF(S69&gt;=90,"90日以上",IF(S69&gt;=60,"60-89日","59日以下")))</x:f>
      </x:c>
      <x:c r="U69" s="99" t="str">
        <x:f>IF(O69="","",IF(O69&lt;0,"赤字",IF(AND(S69&gt;=90,H69&lt;=2),"要見直し",IF(P69&lt;0.15,"低利益","通常"))))</x:f>
      </x:c>
      <x:c r="V69" s="99" t="str">
        <x:f>IF(U69="","",IF(U69="赤字",100,0)+IF(S69&gt;=90,50,0)+IF(P69&lt;0.15,30,0)+IF(E69&gt;=15,10,0))</x:f>
      </x:c>
      <x:c r="W69" s="101" t="str">
        <x:f>IF(U69="","",IF(U69="赤字","価格・原価・送料を再確認",IF(AND(S69&gt;=90,H69&lt;=2),"値下げ・再出品・仕入停止を検討",IF(P69&lt;0.15,"送料・手数料を見直す","継続観察"))))</x:f>
      </x:c>
    </x:row>
    <x:row r="70">
      <x:c r="A70" s="95"/>
      <x:c r="B70" s="95"/>
      <x:c r="C70" s="95"/>
      <x:c r="D70" s="95"/>
      <x:c r="E70" s="95"/>
      <x:c r="F70" s="96"/>
      <x:c r="G70" s="96"/>
      <x:c r="H70" s="95"/>
      <x:c r="I70" s="97"/>
      <x:c r="J70" s="97"/>
      <x:c r="K70" s="98"/>
      <x:c r="L70" s="97"/>
      <x:c r="M70" s="97"/>
      <x:c r="N70" s="99" t="str">
        <x:f>IF(OR(I70="",K70=""),"",I70*K70)</x:f>
      </x:c>
      <x:c r="O70" s="99" t="str">
        <x:f>IF(OR(I70="",J70="",N70="",L70="",M70=""),"",I70-J70-N70-L70-M70)</x:f>
      </x:c>
      <x:c r="P70" s="100" t="str">
        <x:f>IFERROR(O70/I70,"")</x:f>
      </x:c>
      <x:c r="Q70" s="99" t="str">
        <x:f>IF(OR(H70="",I70=""),"",H70*I70)</x:f>
      </x:c>
      <x:c r="R70" s="99" t="str">
        <x:f>IF(OR(H70="",O70=""),"",H70*O70)</x:f>
      </x:c>
      <x:c r="S70" s="99" t="str">
        <x:f>IF(G70="","",$B$2-G70)</x:f>
      </x:c>
      <x:c r="T70" s="99" t="str">
        <x:f>IF(S70="","",IF(S70&gt;=90,"90日以上",IF(S70&gt;=60,"60-89日","59日以下")))</x:f>
      </x:c>
      <x:c r="U70" s="99" t="str">
        <x:f>IF(O70="","",IF(O70&lt;0,"赤字",IF(AND(S70&gt;=90,H70&lt;=2),"要見直し",IF(P70&lt;0.15,"低利益","通常"))))</x:f>
      </x:c>
      <x:c r="V70" s="99" t="str">
        <x:f>IF(U70="","",IF(U70="赤字",100,0)+IF(S70&gt;=90,50,0)+IF(P70&lt;0.15,30,0)+IF(E70&gt;=15,10,0))</x:f>
      </x:c>
      <x:c r="W70" s="101" t="str">
        <x:f>IF(U70="","",IF(U70="赤字","価格・原価・送料を再確認",IF(AND(S70&gt;=90,H70&lt;=2),"値下げ・再出品・仕入停止を検討",IF(P70&lt;0.15,"送料・手数料を見直す","継続観察"))))</x:f>
      </x:c>
    </x:row>
    <x:row r="71">
      <x:c r="A71" s="95"/>
      <x:c r="B71" s="95"/>
      <x:c r="C71" s="95"/>
      <x:c r="D71" s="95"/>
      <x:c r="E71" s="95"/>
      <x:c r="F71" s="96"/>
      <x:c r="G71" s="96"/>
      <x:c r="H71" s="95"/>
      <x:c r="I71" s="97"/>
      <x:c r="J71" s="97"/>
      <x:c r="K71" s="98"/>
      <x:c r="L71" s="97"/>
      <x:c r="M71" s="97"/>
      <x:c r="N71" s="99" t="str">
        <x:f>IF(OR(I71="",K71=""),"",I71*K71)</x:f>
      </x:c>
      <x:c r="O71" s="99" t="str">
        <x:f>IF(OR(I71="",J71="",N71="",L71="",M71=""),"",I71-J71-N71-L71-M71)</x:f>
      </x:c>
      <x:c r="P71" s="100" t="str">
        <x:f>IFERROR(O71/I71,"")</x:f>
      </x:c>
      <x:c r="Q71" s="99" t="str">
        <x:f>IF(OR(H71="",I71=""),"",H71*I71)</x:f>
      </x:c>
      <x:c r="R71" s="99" t="str">
        <x:f>IF(OR(H71="",O71=""),"",H71*O71)</x:f>
      </x:c>
      <x:c r="S71" s="99" t="str">
        <x:f>IF(G71="","",$B$2-G71)</x:f>
      </x:c>
      <x:c r="T71" s="99" t="str">
        <x:f>IF(S71="","",IF(S71&gt;=90,"90日以上",IF(S71&gt;=60,"60-89日","59日以下")))</x:f>
      </x:c>
      <x:c r="U71" s="99" t="str">
        <x:f>IF(O71="","",IF(O71&lt;0,"赤字",IF(AND(S71&gt;=90,H71&lt;=2),"要見直し",IF(P71&lt;0.15,"低利益","通常"))))</x:f>
      </x:c>
      <x:c r="V71" s="99" t="str">
        <x:f>IF(U71="","",IF(U71="赤字",100,0)+IF(S71&gt;=90,50,0)+IF(P71&lt;0.15,30,0)+IF(E71&gt;=15,10,0))</x:f>
      </x:c>
      <x:c r="W71" s="101" t="str">
        <x:f>IF(U71="","",IF(U71="赤字","価格・原価・送料を再確認",IF(AND(S71&gt;=90,H71&lt;=2),"値下げ・再出品・仕入停止を検討",IF(P71&lt;0.15,"送料・手数料を見直す","継続観察"))))</x:f>
      </x:c>
    </x:row>
    <x:row r="72">
      <x:c r="A72" s="95"/>
      <x:c r="B72" s="95"/>
      <x:c r="C72" s="95"/>
      <x:c r="D72" s="95"/>
      <x:c r="E72" s="95"/>
      <x:c r="F72" s="96"/>
      <x:c r="G72" s="96"/>
      <x:c r="H72" s="95"/>
      <x:c r="I72" s="97"/>
      <x:c r="J72" s="97"/>
      <x:c r="K72" s="98"/>
      <x:c r="L72" s="97"/>
      <x:c r="M72" s="97"/>
      <x:c r="N72" s="99" t="str">
        <x:f>IF(OR(I72="",K72=""),"",I72*K72)</x:f>
      </x:c>
      <x:c r="O72" s="99" t="str">
        <x:f>IF(OR(I72="",J72="",N72="",L72="",M72=""),"",I72-J72-N72-L72-M72)</x:f>
      </x:c>
      <x:c r="P72" s="100" t="str">
        <x:f>IFERROR(O72/I72,"")</x:f>
      </x:c>
      <x:c r="Q72" s="99" t="str">
        <x:f>IF(OR(H72="",I72=""),"",H72*I72)</x:f>
      </x:c>
      <x:c r="R72" s="99" t="str">
        <x:f>IF(OR(H72="",O72=""),"",H72*O72)</x:f>
      </x:c>
      <x:c r="S72" s="99" t="str">
        <x:f>IF(G72="","",$B$2-G72)</x:f>
      </x:c>
      <x:c r="T72" s="99" t="str">
        <x:f>IF(S72="","",IF(S72&gt;=90,"90日以上",IF(S72&gt;=60,"60-89日","59日以下")))</x:f>
      </x:c>
      <x:c r="U72" s="99" t="str">
        <x:f>IF(O72="","",IF(O72&lt;0,"赤字",IF(AND(S72&gt;=90,H72&lt;=2),"要見直し",IF(P72&lt;0.15,"低利益","通常"))))</x:f>
      </x:c>
      <x:c r="V72" s="99" t="str">
        <x:f>IF(U72="","",IF(U72="赤字",100,0)+IF(S72&gt;=90,50,0)+IF(P72&lt;0.15,30,0)+IF(E72&gt;=15,10,0))</x:f>
      </x:c>
      <x:c r="W72" s="101" t="str">
        <x:f>IF(U72="","",IF(U72="赤字","価格・原価・送料を再確認",IF(AND(S72&gt;=90,H72&lt;=2),"値下げ・再出品・仕入停止を検討",IF(P72&lt;0.15,"送料・手数料を見直す","継続観察"))))</x:f>
      </x:c>
    </x:row>
    <x:row r="73">
      <x:c r="A73" s="95"/>
      <x:c r="B73" s="95"/>
      <x:c r="C73" s="95"/>
      <x:c r="D73" s="95"/>
      <x:c r="E73" s="95"/>
      <x:c r="F73" s="96"/>
      <x:c r="G73" s="96"/>
      <x:c r="H73" s="95"/>
      <x:c r="I73" s="97"/>
      <x:c r="J73" s="97"/>
      <x:c r="K73" s="98"/>
      <x:c r="L73" s="97"/>
      <x:c r="M73" s="97"/>
      <x:c r="N73" s="99" t="str">
        <x:f>IF(OR(I73="",K73=""),"",I73*K73)</x:f>
      </x:c>
      <x:c r="O73" s="99" t="str">
        <x:f>IF(OR(I73="",J73="",N73="",L73="",M73=""),"",I73-J73-N73-L73-M73)</x:f>
      </x:c>
      <x:c r="P73" s="100" t="str">
        <x:f>IFERROR(O73/I73,"")</x:f>
      </x:c>
      <x:c r="Q73" s="99" t="str">
        <x:f>IF(OR(H73="",I73=""),"",H73*I73)</x:f>
      </x:c>
      <x:c r="R73" s="99" t="str">
        <x:f>IF(OR(H73="",O73=""),"",H73*O73)</x:f>
      </x:c>
      <x:c r="S73" s="99" t="str">
        <x:f>IF(G73="","",$B$2-G73)</x:f>
      </x:c>
      <x:c r="T73" s="99" t="str">
        <x:f>IF(S73="","",IF(S73&gt;=90,"90日以上",IF(S73&gt;=60,"60-89日","59日以下")))</x:f>
      </x:c>
      <x:c r="U73" s="99" t="str">
        <x:f>IF(O73="","",IF(O73&lt;0,"赤字",IF(AND(S73&gt;=90,H73&lt;=2),"要見直し",IF(P73&lt;0.15,"低利益","通常"))))</x:f>
      </x:c>
      <x:c r="V73" s="99" t="str">
        <x:f>IF(U73="","",IF(U73="赤字",100,0)+IF(S73&gt;=90,50,0)+IF(P73&lt;0.15,30,0)+IF(E73&gt;=15,10,0))</x:f>
      </x:c>
      <x:c r="W73" s="101" t="str">
        <x:f>IF(U73="","",IF(U73="赤字","価格・原価・送料を再確認",IF(AND(S73&gt;=90,H73&lt;=2),"値下げ・再出品・仕入停止を検討",IF(P73&lt;0.15,"送料・手数料を見直す","継続観察"))))</x:f>
      </x:c>
    </x:row>
    <x:row r="74">
      <x:c r="A74" s="95"/>
      <x:c r="B74" s="95"/>
      <x:c r="C74" s="95"/>
      <x:c r="D74" s="95"/>
      <x:c r="E74" s="95"/>
      <x:c r="F74" s="96"/>
      <x:c r="G74" s="96"/>
      <x:c r="H74" s="95"/>
      <x:c r="I74" s="97"/>
      <x:c r="J74" s="97"/>
      <x:c r="K74" s="98"/>
      <x:c r="L74" s="97"/>
      <x:c r="M74" s="97"/>
      <x:c r="N74" s="99" t="str">
        <x:f>IF(OR(I74="",K74=""),"",I74*K74)</x:f>
      </x:c>
      <x:c r="O74" s="99" t="str">
        <x:f>IF(OR(I74="",J74="",N74="",L74="",M74=""),"",I74-J74-N74-L74-M74)</x:f>
      </x:c>
      <x:c r="P74" s="100" t="str">
        <x:f>IFERROR(O74/I74,"")</x:f>
      </x:c>
      <x:c r="Q74" s="99" t="str">
        <x:f>IF(OR(H74="",I74=""),"",H74*I74)</x:f>
      </x:c>
      <x:c r="R74" s="99" t="str">
        <x:f>IF(OR(H74="",O74=""),"",H74*O74)</x:f>
      </x:c>
      <x:c r="S74" s="99" t="str">
        <x:f>IF(G74="","",$B$2-G74)</x:f>
      </x:c>
      <x:c r="T74" s="99" t="str">
        <x:f>IF(S74="","",IF(S74&gt;=90,"90日以上",IF(S74&gt;=60,"60-89日","59日以下")))</x:f>
      </x:c>
      <x:c r="U74" s="99" t="str">
        <x:f>IF(O74="","",IF(O74&lt;0,"赤字",IF(AND(S74&gt;=90,H74&lt;=2),"要見直し",IF(P74&lt;0.15,"低利益","通常"))))</x:f>
      </x:c>
      <x:c r="V74" s="99" t="str">
        <x:f>IF(U74="","",IF(U74="赤字",100,0)+IF(S74&gt;=90,50,0)+IF(P74&lt;0.15,30,0)+IF(E74&gt;=15,10,0))</x:f>
      </x:c>
      <x:c r="W74" s="101" t="str">
        <x:f>IF(U74="","",IF(U74="赤字","価格・原価・送料を再確認",IF(AND(S74&gt;=90,H74&lt;=2),"値下げ・再出品・仕入停止を検討",IF(P74&lt;0.15,"送料・手数料を見直す","継続観察"))))</x:f>
      </x:c>
    </x:row>
    <x:row r="75">
      <x:c r="A75" s="95"/>
      <x:c r="B75" s="95"/>
      <x:c r="C75" s="95"/>
      <x:c r="D75" s="95"/>
      <x:c r="E75" s="95"/>
      <x:c r="F75" s="96"/>
      <x:c r="G75" s="96"/>
      <x:c r="H75" s="95"/>
      <x:c r="I75" s="97"/>
      <x:c r="J75" s="97"/>
      <x:c r="K75" s="98"/>
      <x:c r="L75" s="97"/>
      <x:c r="M75" s="97"/>
      <x:c r="N75" s="99" t="str">
        <x:f>IF(OR(I75="",K75=""),"",I75*K75)</x:f>
      </x:c>
      <x:c r="O75" s="99" t="str">
        <x:f>IF(OR(I75="",J75="",N75="",L75="",M75=""),"",I75-J75-N75-L75-M75)</x:f>
      </x:c>
      <x:c r="P75" s="100" t="str">
        <x:f>IFERROR(O75/I75,"")</x:f>
      </x:c>
      <x:c r="Q75" s="99" t="str">
        <x:f>IF(OR(H75="",I75=""),"",H75*I75)</x:f>
      </x:c>
      <x:c r="R75" s="99" t="str">
        <x:f>IF(OR(H75="",O75=""),"",H75*O75)</x:f>
      </x:c>
      <x:c r="S75" s="99" t="str">
        <x:f>IF(G75="","",$B$2-G75)</x:f>
      </x:c>
      <x:c r="T75" s="99" t="str">
        <x:f>IF(S75="","",IF(S75&gt;=90,"90日以上",IF(S75&gt;=60,"60-89日","59日以下")))</x:f>
      </x:c>
      <x:c r="U75" s="99" t="str">
        <x:f>IF(O75="","",IF(O75&lt;0,"赤字",IF(AND(S75&gt;=90,H75&lt;=2),"要見直し",IF(P75&lt;0.15,"低利益","通常"))))</x:f>
      </x:c>
      <x:c r="V75" s="99" t="str">
        <x:f>IF(U75="","",IF(U75="赤字",100,0)+IF(S75&gt;=90,50,0)+IF(P75&lt;0.15,30,0)+IF(E75&gt;=15,10,0))</x:f>
      </x:c>
      <x:c r="W75" s="101" t="str">
        <x:f>IF(U75="","",IF(U75="赤字","価格・原価・送料を再確認",IF(AND(S75&gt;=90,H75&lt;=2),"値下げ・再出品・仕入停止を検討",IF(P75&lt;0.15,"送料・手数料を見直す","継続観察"))))</x:f>
      </x:c>
    </x:row>
    <x:row r="76">
      <x:c r="A76" s="95"/>
      <x:c r="B76" s="95"/>
      <x:c r="C76" s="95"/>
      <x:c r="D76" s="95"/>
      <x:c r="E76" s="95"/>
      <x:c r="F76" s="96"/>
      <x:c r="G76" s="96"/>
      <x:c r="H76" s="95"/>
      <x:c r="I76" s="97"/>
      <x:c r="J76" s="97"/>
      <x:c r="K76" s="98"/>
      <x:c r="L76" s="97"/>
      <x:c r="M76" s="97"/>
      <x:c r="N76" s="99" t="str">
        <x:f>IF(OR(I76="",K76=""),"",I76*K76)</x:f>
      </x:c>
      <x:c r="O76" s="99" t="str">
        <x:f>IF(OR(I76="",J76="",N76="",L76="",M76=""),"",I76-J76-N76-L76-M76)</x:f>
      </x:c>
      <x:c r="P76" s="100" t="str">
        <x:f>IFERROR(O76/I76,"")</x:f>
      </x:c>
      <x:c r="Q76" s="99" t="str">
        <x:f>IF(OR(H76="",I76=""),"",H76*I76)</x:f>
      </x:c>
      <x:c r="R76" s="99" t="str">
        <x:f>IF(OR(H76="",O76=""),"",H76*O76)</x:f>
      </x:c>
      <x:c r="S76" s="99" t="str">
        <x:f>IF(G76="","",$B$2-G76)</x:f>
      </x:c>
      <x:c r="T76" s="99" t="str">
        <x:f>IF(S76="","",IF(S76&gt;=90,"90日以上",IF(S76&gt;=60,"60-89日","59日以下")))</x:f>
      </x:c>
      <x:c r="U76" s="99" t="str">
        <x:f>IF(O76="","",IF(O76&lt;0,"赤字",IF(AND(S76&gt;=90,H76&lt;=2),"要見直し",IF(P76&lt;0.15,"低利益","通常"))))</x:f>
      </x:c>
      <x:c r="V76" s="99" t="str">
        <x:f>IF(U76="","",IF(U76="赤字",100,0)+IF(S76&gt;=90,50,0)+IF(P76&lt;0.15,30,0)+IF(E76&gt;=15,10,0))</x:f>
      </x:c>
      <x:c r="W76" s="101" t="str">
        <x:f>IF(U76="","",IF(U76="赤字","価格・原価・送料を再確認",IF(AND(S76&gt;=90,H76&lt;=2),"値下げ・再出品・仕入停止を検討",IF(P76&lt;0.15,"送料・手数料を見直す","継続観察"))))</x:f>
      </x:c>
    </x:row>
    <x:row r="77">
      <x:c r="A77" s="95"/>
      <x:c r="B77" s="95"/>
      <x:c r="C77" s="95"/>
      <x:c r="D77" s="95"/>
      <x:c r="E77" s="95"/>
      <x:c r="F77" s="96"/>
      <x:c r="G77" s="96"/>
      <x:c r="H77" s="95"/>
      <x:c r="I77" s="97"/>
      <x:c r="J77" s="97"/>
      <x:c r="K77" s="98"/>
      <x:c r="L77" s="97"/>
      <x:c r="M77" s="97"/>
      <x:c r="N77" s="99" t="str">
        <x:f>IF(OR(I77="",K77=""),"",I77*K77)</x:f>
      </x:c>
      <x:c r="O77" s="99" t="str">
        <x:f>IF(OR(I77="",J77="",N77="",L77="",M77=""),"",I77-J77-N77-L77-M77)</x:f>
      </x:c>
      <x:c r="P77" s="100" t="str">
        <x:f>IFERROR(O77/I77,"")</x:f>
      </x:c>
      <x:c r="Q77" s="99" t="str">
        <x:f>IF(OR(H77="",I77=""),"",H77*I77)</x:f>
      </x:c>
      <x:c r="R77" s="99" t="str">
        <x:f>IF(OR(H77="",O77=""),"",H77*O77)</x:f>
      </x:c>
      <x:c r="S77" s="99" t="str">
        <x:f>IF(G77="","",$B$2-G77)</x:f>
      </x:c>
      <x:c r="T77" s="99" t="str">
        <x:f>IF(S77="","",IF(S77&gt;=90,"90日以上",IF(S77&gt;=60,"60-89日","59日以下")))</x:f>
      </x:c>
      <x:c r="U77" s="99" t="str">
        <x:f>IF(O77="","",IF(O77&lt;0,"赤字",IF(AND(S77&gt;=90,H77&lt;=2),"要見直し",IF(P77&lt;0.15,"低利益","通常"))))</x:f>
      </x:c>
      <x:c r="V77" s="99" t="str">
        <x:f>IF(U77="","",IF(U77="赤字",100,0)+IF(S77&gt;=90,50,0)+IF(P77&lt;0.15,30,0)+IF(E77&gt;=15,10,0))</x:f>
      </x:c>
      <x:c r="W77" s="101" t="str">
        <x:f>IF(U77="","",IF(U77="赤字","価格・原価・送料を再確認",IF(AND(S77&gt;=90,H77&lt;=2),"値下げ・再出品・仕入停止を検討",IF(P77&lt;0.15,"送料・手数料を見直す","継続観察"))))</x:f>
      </x:c>
    </x:row>
    <x:row r="78">
      <x:c r="A78" s="95"/>
      <x:c r="B78" s="95"/>
      <x:c r="C78" s="95"/>
      <x:c r="D78" s="95"/>
      <x:c r="E78" s="95"/>
      <x:c r="F78" s="96"/>
      <x:c r="G78" s="96"/>
      <x:c r="H78" s="95"/>
      <x:c r="I78" s="97"/>
      <x:c r="J78" s="97"/>
      <x:c r="K78" s="98"/>
      <x:c r="L78" s="97"/>
      <x:c r="M78" s="97"/>
      <x:c r="N78" s="99" t="str">
        <x:f>IF(OR(I78="",K78=""),"",I78*K78)</x:f>
      </x:c>
      <x:c r="O78" s="99" t="str">
        <x:f>IF(OR(I78="",J78="",N78="",L78="",M78=""),"",I78-J78-N78-L78-M78)</x:f>
      </x:c>
      <x:c r="P78" s="100" t="str">
        <x:f>IFERROR(O78/I78,"")</x:f>
      </x:c>
      <x:c r="Q78" s="99" t="str">
        <x:f>IF(OR(H78="",I78=""),"",H78*I78)</x:f>
      </x:c>
      <x:c r="R78" s="99" t="str">
        <x:f>IF(OR(H78="",O78=""),"",H78*O78)</x:f>
      </x:c>
      <x:c r="S78" s="99" t="str">
        <x:f>IF(G78="","",$B$2-G78)</x:f>
      </x:c>
      <x:c r="T78" s="99" t="str">
        <x:f>IF(S78="","",IF(S78&gt;=90,"90日以上",IF(S78&gt;=60,"60-89日","59日以下")))</x:f>
      </x:c>
      <x:c r="U78" s="99" t="str">
        <x:f>IF(O78="","",IF(O78&lt;0,"赤字",IF(AND(S78&gt;=90,H78&lt;=2),"要見直し",IF(P78&lt;0.15,"低利益","通常"))))</x:f>
      </x:c>
      <x:c r="V78" s="99" t="str">
        <x:f>IF(U78="","",IF(U78="赤字",100,0)+IF(S78&gt;=90,50,0)+IF(P78&lt;0.15,30,0)+IF(E78&gt;=15,10,0))</x:f>
      </x:c>
      <x:c r="W78" s="101" t="str">
        <x:f>IF(U78="","",IF(U78="赤字","価格・原価・送料を再確認",IF(AND(S78&gt;=90,H78&lt;=2),"値下げ・再出品・仕入停止を検討",IF(P78&lt;0.15,"送料・手数料を見直す","継続観察"))))</x:f>
      </x:c>
    </x:row>
    <x:row r="79">
      <x:c r="A79" s="95"/>
      <x:c r="B79" s="95"/>
      <x:c r="C79" s="95"/>
      <x:c r="D79" s="95"/>
      <x:c r="E79" s="95"/>
      <x:c r="F79" s="96"/>
      <x:c r="G79" s="96"/>
      <x:c r="H79" s="95"/>
      <x:c r="I79" s="97"/>
      <x:c r="J79" s="97"/>
      <x:c r="K79" s="98"/>
      <x:c r="L79" s="97"/>
      <x:c r="M79" s="97"/>
      <x:c r="N79" s="99" t="str">
        <x:f>IF(OR(I79="",K79=""),"",I79*K79)</x:f>
      </x:c>
      <x:c r="O79" s="99" t="str">
        <x:f>IF(OR(I79="",J79="",N79="",L79="",M79=""),"",I79-J79-N79-L79-M79)</x:f>
      </x:c>
      <x:c r="P79" s="100" t="str">
        <x:f>IFERROR(O79/I79,"")</x:f>
      </x:c>
      <x:c r="Q79" s="99" t="str">
        <x:f>IF(OR(H79="",I79=""),"",H79*I79)</x:f>
      </x:c>
      <x:c r="R79" s="99" t="str">
        <x:f>IF(OR(H79="",O79=""),"",H79*O79)</x:f>
      </x:c>
      <x:c r="S79" s="99" t="str">
        <x:f>IF(G79="","",$B$2-G79)</x:f>
      </x:c>
      <x:c r="T79" s="99" t="str">
        <x:f>IF(S79="","",IF(S79&gt;=90,"90日以上",IF(S79&gt;=60,"60-89日","59日以下")))</x:f>
      </x:c>
      <x:c r="U79" s="99" t="str">
        <x:f>IF(O79="","",IF(O79&lt;0,"赤字",IF(AND(S79&gt;=90,H79&lt;=2),"要見直し",IF(P79&lt;0.15,"低利益","通常"))))</x:f>
      </x:c>
      <x:c r="V79" s="99" t="str">
        <x:f>IF(U79="","",IF(U79="赤字",100,0)+IF(S79&gt;=90,50,0)+IF(P79&lt;0.15,30,0)+IF(E79&gt;=15,10,0))</x:f>
      </x:c>
      <x:c r="W79" s="101" t="str">
        <x:f>IF(U79="","",IF(U79="赤字","価格・原価・送料を再確認",IF(AND(S79&gt;=90,H79&lt;=2),"値下げ・再出品・仕入停止を検討",IF(P79&lt;0.15,"送料・手数料を見直す","継続観察"))))</x:f>
      </x:c>
    </x:row>
    <x:row r="80">
      <x:c r="A80" s="95"/>
      <x:c r="B80" s="95"/>
      <x:c r="C80" s="95"/>
      <x:c r="D80" s="95"/>
      <x:c r="E80" s="95"/>
      <x:c r="F80" s="96"/>
      <x:c r="G80" s="96"/>
      <x:c r="H80" s="95"/>
      <x:c r="I80" s="97"/>
      <x:c r="J80" s="97"/>
      <x:c r="K80" s="98"/>
      <x:c r="L80" s="97"/>
      <x:c r="M80" s="97"/>
      <x:c r="N80" s="99" t="str">
        <x:f>IF(OR(I80="",K80=""),"",I80*K80)</x:f>
      </x:c>
      <x:c r="O80" s="99" t="str">
        <x:f>IF(OR(I80="",J80="",N80="",L80="",M80=""),"",I80-J80-N80-L80-M80)</x:f>
      </x:c>
      <x:c r="P80" s="100" t="str">
        <x:f>IFERROR(O80/I80,"")</x:f>
      </x:c>
      <x:c r="Q80" s="99" t="str">
        <x:f>IF(OR(H80="",I80=""),"",H80*I80)</x:f>
      </x:c>
      <x:c r="R80" s="99" t="str">
        <x:f>IF(OR(H80="",O80=""),"",H80*O80)</x:f>
      </x:c>
      <x:c r="S80" s="99" t="str">
        <x:f>IF(G80="","",$B$2-G80)</x:f>
      </x:c>
      <x:c r="T80" s="99" t="str">
        <x:f>IF(S80="","",IF(S80&gt;=90,"90日以上",IF(S80&gt;=60,"60-89日","59日以下")))</x:f>
      </x:c>
      <x:c r="U80" s="99" t="str">
        <x:f>IF(O80="","",IF(O80&lt;0,"赤字",IF(AND(S80&gt;=90,H80&lt;=2),"要見直し",IF(P80&lt;0.15,"低利益","通常"))))</x:f>
      </x:c>
      <x:c r="V80" s="99" t="str">
        <x:f>IF(U80="","",IF(U80="赤字",100,0)+IF(S80&gt;=90,50,0)+IF(P80&lt;0.15,30,0)+IF(E80&gt;=15,10,0))</x:f>
      </x:c>
      <x:c r="W80" s="101" t="str">
        <x:f>IF(U80="","",IF(U80="赤字","価格・原価・送料を再確認",IF(AND(S80&gt;=90,H80&lt;=2),"値下げ・再出品・仕入停止を検討",IF(P80&lt;0.15,"送料・手数料を見直す","継続観察"))))</x:f>
      </x:c>
    </x:row>
    <x:row r="81">
      <x:c r="A81" s="95"/>
      <x:c r="B81" s="95"/>
      <x:c r="C81" s="95"/>
      <x:c r="D81" s="95"/>
      <x:c r="E81" s="95"/>
      <x:c r="F81" s="96"/>
      <x:c r="G81" s="96"/>
      <x:c r="H81" s="95"/>
      <x:c r="I81" s="97"/>
      <x:c r="J81" s="97"/>
      <x:c r="K81" s="98"/>
      <x:c r="L81" s="97"/>
      <x:c r="M81" s="97"/>
      <x:c r="N81" s="99" t="str">
        <x:f>IF(OR(I81="",K81=""),"",I81*K81)</x:f>
      </x:c>
      <x:c r="O81" s="99" t="str">
        <x:f>IF(OR(I81="",J81="",N81="",L81="",M81=""),"",I81-J81-N81-L81-M81)</x:f>
      </x:c>
      <x:c r="P81" s="100" t="str">
        <x:f>IFERROR(O81/I81,"")</x:f>
      </x:c>
      <x:c r="Q81" s="99" t="str">
        <x:f>IF(OR(H81="",I81=""),"",H81*I81)</x:f>
      </x:c>
      <x:c r="R81" s="99" t="str">
        <x:f>IF(OR(H81="",O81=""),"",H81*O81)</x:f>
      </x:c>
      <x:c r="S81" s="99" t="str">
        <x:f>IF(G81="","",$B$2-G81)</x:f>
      </x:c>
      <x:c r="T81" s="99" t="str">
        <x:f>IF(S81="","",IF(S81&gt;=90,"90日以上",IF(S81&gt;=60,"60-89日","59日以下")))</x:f>
      </x:c>
      <x:c r="U81" s="99" t="str">
        <x:f>IF(O81="","",IF(O81&lt;0,"赤字",IF(AND(S81&gt;=90,H81&lt;=2),"要見直し",IF(P81&lt;0.15,"低利益","通常"))))</x:f>
      </x:c>
      <x:c r="V81" s="99" t="str">
        <x:f>IF(U81="","",IF(U81="赤字",100,0)+IF(S81&gt;=90,50,0)+IF(P81&lt;0.15,30,0)+IF(E81&gt;=15,10,0))</x:f>
      </x:c>
      <x:c r="W81" s="101" t="str">
        <x:f>IF(U81="","",IF(U81="赤字","価格・原価・送料を再確認",IF(AND(S81&gt;=90,H81&lt;=2),"値下げ・再出品・仕入停止を検討",IF(P81&lt;0.15,"送料・手数料を見直す","継続観察"))))</x:f>
      </x:c>
    </x:row>
    <x:row r="82">
      <x:c r="A82" s="95"/>
      <x:c r="B82" s="95"/>
      <x:c r="C82" s="95"/>
      <x:c r="D82" s="95"/>
      <x:c r="E82" s="95"/>
      <x:c r="F82" s="96"/>
      <x:c r="G82" s="96"/>
      <x:c r="H82" s="95"/>
      <x:c r="I82" s="97"/>
      <x:c r="J82" s="97"/>
      <x:c r="K82" s="98"/>
      <x:c r="L82" s="97"/>
      <x:c r="M82" s="97"/>
      <x:c r="N82" s="99" t="str">
        <x:f>IF(OR(I82="",K82=""),"",I82*K82)</x:f>
      </x:c>
      <x:c r="O82" s="99" t="str">
        <x:f>IF(OR(I82="",J82="",N82="",L82="",M82=""),"",I82-J82-N82-L82-M82)</x:f>
      </x:c>
      <x:c r="P82" s="100" t="str">
        <x:f>IFERROR(O82/I82,"")</x:f>
      </x:c>
      <x:c r="Q82" s="99" t="str">
        <x:f>IF(OR(H82="",I82=""),"",H82*I82)</x:f>
      </x:c>
      <x:c r="R82" s="99" t="str">
        <x:f>IF(OR(H82="",O82=""),"",H82*O82)</x:f>
      </x:c>
      <x:c r="S82" s="99" t="str">
        <x:f>IF(G82="","",$B$2-G82)</x:f>
      </x:c>
      <x:c r="T82" s="99" t="str">
        <x:f>IF(S82="","",IF(S82&gt;=90,"90日以上",IF(S82&gt;=60,"60-89日","59日以下")))</x:f>
      </x:c>
      <x:c r="U82" s="99" t="str">
        <x:f>IF(O82="","",IF(O82&lt;0,"赤字",IF(AND(S82&gt;=90,H82&lt;=2),"要見直し",IF(P82&lt;0.15,"低利益","通常"))))</x:f>
      </x:c>
      <x:c r="V82" s="99" t="str">
        <x:f>IF(U82="","",IF(U82="赤字",100,0)+IF(S82&gt;=90,50,0)+IF(P82&lt;0.15,30,0)+IF(E82&gt;=15,10,0))</x:f>
      </x:c>
      <x:c r="W82" s="101" t="str">
        <x:f>IF(U82="","",IF(U82="赤字","価格・原価・送料を再確認",IF(AND(S82&gt;=90,H82&lt;=2),"値下げ・再出品・仕入停止を検討",IF(P82&lt;0.15,"送料・手数料を見直す","継続観察"))))</x:f>
      </x:c>
    </x:row>
    <x:row r="83">
      <x:c r="A83" s="95"/>
      <x:c r="B83" s="95"/>
      <x:c r="C83" s="95"/>
      <x:c r="D83" s="95"/>
      <x:c r="E83" s="95"/>
      <x:c r="F83" s="96"/>
      <x:c r="G83" s="96"/>
      <x:c r="H83" s="95"/>
      <x:c r="I83" s="97"/>
      <x:c r="J83" s="97"/>
      <x:c r="K83" s="98"/>
      <x:c r="L83" s="97"/>
      <x:c r="M83" s="97"/>
      <x:c r="N83" s="99" t="str">
        <x:f>IF(OR(I83="",K83=""),"",I83*K83)</x:f>
      </x:c>
      <x:c r="O83" s="99" t="str">
        <x:f>IF(OR(I83="",J83="",N83="",L83="",M83=""),"",I83-J83-N83-L83-M83)</x:f>
      </x:c>
      <x:c r="P83" s="100" t="str">
        <x:f>IFERROR(O83/I83,"")</x:f>
      </x:c>
      <x:c r="Q83" s="99" t="str">
        <x:f>IF(OR(H83="",I83=""),"",H83*I83)</x:f>
      </x:c>
      <x:c r="R83" s="99" t="str">
        <x:f>IF(OR(H83="",O83=""),"",H83*O83)</x:f>
      </x:c>
      <x:c r="S83" s="99" t="str">
        <x:f>IF(G83="","",$B$2-G83)</x:f>
      </x:c>
      <x:c r="T83" s="99" t="str">
        <x:f>IF(S83="","",IF(S83&gt;=90,"90日以上",IF(S83&gt;=60,"60-89日","59日以下")))</x:f>
      </x:c>
      <x:c r="U83" s="99" t="str">
        <x:f>IF(O83="","",IF(O83&lt;0,"赤字",IF(AND(S83&gt;=90,H83&lt;=2),"要見直し",IF(P83&lt;0.15,"低利益","通常"))))</x:f>
      </x:c>
      <x:c r="V83" s="99" t="str">
        <x:f>IF(U83="","",IF(U83="赤字",100,0)+IF(S83&gt;=90,50,0)+IF(P83&lt;0.15,30,0)+IF(E83&gt;=15,10,0))</x:f>
      </x:c>
      <x:c r="W83" s="101" t="str">
        <x:f>IF(U83="","",IF(U83="赤字","価格・原価・送料を再確認",IF(AND(S83&gt;=90,H83&lt;=2),"値下げ・再出品・仕入停止を検討",IF(P83&lt;0.15,"送料・手数料を見直す","継続観察"))))</x:f>
      </x:c>
    </x:row>
    <x:row r="84">
      <x:c r="A84" s="95"/>
      <x:c r="B84" s="95"/>
      <x:c r="C84" s="95"/>
      <x:c r="D84" s="95"/>
      <x:c r="E84" s="95"/>
      <x:c r="F84" s="96"/>
      <x:c r="G84" s="96"/>
      <x:c r="H84" s="95"/>
      <x:c r="I84" s="97"/>
      <x:c r="J84" s="97"/>
      <x:c r="K84" s="98"/>
      <x:c r="L84" s="97"/>
      <x:c r="M84" s="97"/>
      <x:c r="N84" s="99" t="str">
        <x:f>IF(OR(I84="",K84=""),"",I84*K84)</x:f>
      </x:c>
      <x:c r="O84" s="99" t="str">
        <x:f>IF(OR(I84="",J84="",N84="",L84="",M84=""),"",I84-J84-N84-L84-M84)</x:f>
      </x:c>
      <x:c r="P84" s="100" t="str">
        <x:f>IFERROR(O84/I84,"")</x:f>
      </x:c>
      <x:c r="Q84" s="99" t="str">
        <x:f>IF(OR(H84="",I84=""),"",H84*I84)</x:f>
      </x:c>
      <x:c r="R84" s="99" t="str">
        <x:f>IF(OR(H84="",O84=""),"",H84*O84)</x:f>
      </x:c>
      <x:c r="S84" s="99" t="str">
        <x:f>IF(G84="","",$B$2-G84)</x:f>
      </x:c>
      <x:c r="T84" s="99" t="str">
        <x:f>IF(S84="","",IF(S84&gt;=90,"90日以上",IF(S84&gt;=60,"60-89日","59日以下")))</x:f>
      </x:c>
      <x:c r="U84" s="99" t="str">
        <x:f>IF(O84="","",IF(O84&lt;0,"赤字",IF(AND(S84&gt;=90,H84&lt;=2),"要見直し",IF(P84&lt;0.15,"低利益","通常"))))</x:f>
      </x:c>
      <x:c r="V84" s="99" t="str">
        <x:f>IF(U84="","",IF(U84="赤字",100,0)+IF(S84&gt;=90,50,0)+IF(P84&lt;0.15,30,0)+IF(E84&gt;=15,10,0))</x:f>
      </x:c>
      <x:c r="W84" s="101" t="str">
        <x:f>IF(U84="","",IF(U84="赤字","価格・原価・送料を再確認",IF(AND(S84&gt;=90,H84&lt;=2),"値下げ・再出品・仕入停止を検討",IF(P84&lt;0.15,"送料・手数料を見直す","継続観察"))))</x:f>
      </x:c>
    </x:row>
    <x:row r="85">
      <x:c r="A85" s="95"/>
      <x:c r="B85" s="95"/>
      <x:c r="C85" s="95"/>
      <x:c r="D85" s="95"/>
      <x:c r="E85" s="95"/>
      <x:c r="F85" s="96"/>
      <x:c r="G85" s="96"/>
      <x:c r="H85" s="95"/>
      <x:c r="I85" s="97"/>
      <x:c r="J85" s="97"/>
      <x:c r="K85" s="98"/>
      <x:c r="L85" s="97"/>
      <x:c r="M85" s="97"/>
      <x:c r="N85" s="99" t="str">
        <x:f>IF(OR(I85="",K85=""),"",I85*K85)</x:f>
      </x:c>
      <x:c r="O85" s="99" t="str">
        <x:f>IF(OR(I85="",J85="",N85="",L85="",M85=""),"",I85-J85-N85-L85-M85)</x:f>
      </x:c>
      <x:c r="P85" s="100" t="str">
        <x:f>IFERROR(O85/I85,"")</x:f>
      </x:c>
      <x:c r="Q85" s="99" t="str">
        <x:f>IF(OR(H85="",I85=""),"",H85*I85)</x:f>
      </x:c>
      <x:c r="R85" s="99" t="str">
        <x:f>IF(OR(H85="",O85=""),"",H85*O85)</x:f>
      </x:c>
      <x:c r="S85" s="99" t="str">
        <x:f>IF(G85="","",$B$2-G85)</x:f>
      </x:c>
      <x:c r="T85" s="99" t="str">
        <x:f>IF(S85="","",IF(S85&gt;=90,"90日以上",IF(S85&gt;=60,"60-89日","59日以下")))</x:f>
      </x:c>
      <x:c r="U85" s="99" t="str">
        <x:f>IF(O85="","",IF(O85&lt;0,"赤字",IF(AND(S85&gt;=90,H85&lt;=2),"要見直し",IF(P85&lt;0.15,"低利益","通常"))))</x:f>
      </x:c>
      <x:c r="V85" s="99" t="str">
        <x:f>IF(U85="","",IF(U85="赤字",100,0)+IF(S85&gt;=90,50,0)+IF(P85&lt;0.15,30,0)+IF(E85&gt;=15,10,0))</x:f>
      </x:c>
      <x:c r="W85" s="101" t="str">
        <x:f>IF(U85="","",IF(U85="赤字","価格・原価・送料を再確認",IF(AND(S85&gt;=90,H85&lt;=2),"値下げ・再出品・仕入停止を検討",IF(P85&lt;0.15,"送料・手数料を見直す","継続観察"))))</x:f>
      </x:c>
    </x:row>
    <x:row r="86">
      <x:c r="A86" s="95"/>
      <x:c r="B86" s="95"/>
      <x:c r="C86" s="95"/>
      <x:c r="D86" s="95"/>
      <x:c r="E86" s="95"/>
      <x:c r="F86" s="96"/>
      <x:c r="G86" s="96"/>
      <x:c r="H86" s="95"/>
      <x:c r="I86" s="97"/>
      <x:c r="J86" s="97"/>
      <x:c r="K86" s="98"/>
      <x:c r="L86" s="97"/>
      <x:c r="M86" s="97"/>
      <x:c r="N86" s="99" t="str">
        <x:f>IF(OR(I86="",K86=""),"",I86*K86)</x:f>
      </x:c>
      <x:c r="O86" s="99" t="str">
        <x:f>IF(OR(I86="",J86="",N86="",L86="",M86=""),"",I86-J86-N86-L86-M86)</x:f>
      </x:c>
      <x:c r="P86" s="100" t="str">
        <x:f>IFERROR(O86/I86,"")</x:f>
      </x:c>
      <x:c r="Q86" s="99" t="str">
        <x:f>IF(OR(H86="",I86=""),"",H86*I86)</x:f>
      </x:c>
      <x:c r="R86" s="99" t="str">
        <x:f>IF(OR(H86="",O86=""),"",H86*O86)</x:f>
      </x:c>
      <x:c r="S86" s="99" t="str">
        <x:f>IF(G86="","",$B$2-G86)</x:f>
      </x:c>
      <x:c r="T86" s="99" t="str">
        <x:f>IF(S86="","",IF(S86&gt;=90,"90日以上",IF(S86&gt;=60,"60-89日","59日以下")))</x:f>
      </x:c>
      <x:c r="U86" s="99" t="str">
        <x:f>IF(O86="","",IF(O86&lt;0,"赤字",IF(AND(S86&gt;=90,H86&lt;=2),"要見直し",IF(P86&lt;0.15,"低利益","通常"))))</x:f>
      </x:c>
      <x:c r="V86" s="99" t="str">
        <x:f>IF(U86="","",IF(U86="赤字",100,0)+IF(S86&gt;=90,50,0)+IF(P86&lt;0.15,30,0)+IF(E86&gt;=15,10,0))</x:f>
      </x:c>
      <x:c r="W86" s="101" t="str">
        <x:f>IF(U86="","",IF(U86="赤字","価格・原価・送料を再確認",IF(AND(S86&gt;=90,H86&lt;=2),"値下げ・再出品・仕入停止を検討",IF(P86&lt;0.15,"送料・手数料を見直す","継続観察"))))</x:f>
      </x:c>
    </x:row>
    <x:row r="87">
      <x:c r="A87" s="95"/>
      <x:c r="B87" s="95"/>
      <x:c r="C87" s="95"/>
      <x:c r="D87" s="95"/>
      <x:c r="E87" s="95"/>
      <x:c r="F87" s="96"/>
      <x:c r="G87" s="96"/>
      <x:c r="H87" s="95"/>
      <x:c r="I87" s="97"/>
      <x:c r="J87" s="97"/>
      <x:c r="K87" s="98"/>
      <x:c r="L87" s="97"/>
      <x:c r="M87" s="97"/>
      <x:c r="N87" s="99" t="str">
        <x:f>IF(OR(I87="",K87=""),"",I87*K87)</x:f>
      </x:c>
      <x:c r="O87" s="99" t="str">
        <x:f>IF(OR(I87="",J87="",N87="",L87="",M87=""),"",I87-J87-N87-L87-M87)</x:f>
      </x:c>
      <x:c r="P87" s="100" t="str">
        <x:f>IFERROR(O87/I87,"")</x:f>
      </x:c>
      <x:c r="Q87" s="99" t="str">
        <x:f>IF(OR(H87="",I87=""),"",H87*I87)</x:f>
      </x:c>
      <x:c r="R87" s="99" t="str">
        <x:f>IF(OR(H87="",O87=""),"",H87*O87)</x:f>
      </x:c>
      <x:c r="S87" s="99" t="str">
        <x:f>IF(G87="","",$B$2-G87)</x:f>
      </x:c>
      <x:c r="T87" s="99" t="str">
        <x:f>IF(S87="","",IF(S87&gt;=90,"90日以上",IF(S87&gt;=60,"60-89日","59日以下")))</x:f>
      </x:c>
      <x:c r="U87" s="99" t="str">
        <x:f>IF(O87="","",IF(O87&lt;0,"赤字",IF(AND(S87&gt;=90,H87&lt;=2),"要見直し",IF(P87&lt;0.15,"低利益","通常"))))</x:f>
      </x:c>
      <x:c r="V87" s="99" t="str">
        <x:f>IF(U87="","",IF(U87="赤字",100,0)+IF(S87&gt;=90,50,0)+IF(P87&lt;0.15,30,0)+IF(E87&gt;=15,10,0))</x:f>
      </x:c>
      <x:c r="W87" s="101" t="str">
        <x:f>IF(U87="","",IF(U87="赤字","価格・原価・送料を再確認",IF(AND(S87&gt;=90,H87&lt;=2),"値下げ・再出品・仕入停止を検討",IF(P87&lt;0.15,"送料・手数料を見直す","継続観察"))))</x:f>
      </x:c>
    </x:row>
    <x:row r="88">
      <x:c r="A88" s="95"/>
      <x:c r="B88" s="95"/>
      <x:c r="C88" s="95"/>
      <x:c r="D88" s="95"/>
      <x:c r="E88" s="95"/>
      <x:c r="F88" s="96"/>
      <x:c r="G88" s="96"/>
      <x:c r="H88" s="95"/>
      <x:c r="I88" s="97"/>
      <x:c r="J88" s="97"/>
      <x:c r="K88" s="98"/>
      <x:c r="L88" s="97"/>
      <x:c r="M88" s="97"/>
      <x:c r="N88" s="99" t="str">
        <x:f>IF(OR(I88="",K88=""),"",I88*K88)</x:f>
      </x:c>
      <x:c r="O88" s="99" t="str">
        <x:f>IF(OR(I88="",J88="",N88="",L88="",M88=""),"",I88-J88-N88-L88-M88)</x:f>
      </x:c>
      <x:c r="P88" s="100" t="str">
        <x:f>IFERROR(O88/I88,"")</x:f>
      </x:c>
      <x:c r="Q88" s="99" t="str">
        <x:f>IF(OR(H88="",I88=""),"",H88*I88)</x:f>
      </x:c>
      <x:c r="R88" s="99" t="str">
        <x:f>IF(OR(H88="",O88=""),"",H88*O88)</x:f>
      </x:c>
      <x:c r="S88" s="99" t="str">
        <x:f>IF(G88="","",$B$2-G88)</x:f>
      </x:c>
      <x:c r="T88" s="99" t="str">
        <x:f>IF(S88="","",IF(S88&gt;=90,"90日以上",IF(S88&gt;=60,"60-89日","59日以下")))</x:f>
      </x:c>
      <x:c r="U88" s="99" t="str">
        <x:f>IF(O88="","",IF(O88&lt;0,"赤字",IF(AND(S88&gt;=90,H88&lt;=2),"要見直し",IF(P88&lt;0.15,"低利益","通常"))))</x:f>
      </x:c>
      <x:c r="V88" s="99" t="str">
        <x:f>IF(U88="","",IF(U88="赤字",100,0)+IF(S88&gt;=90,50,0)+IF(P88&lt;0.15,30,0)+IF(E88&gt;=15,10,0))</x:f>
      </x:c>
      <x:c r="W88" s="101" t="str">
        <x:f>IF(U88="","",IF(U88="赤字","価格・原価・送料を再確認",IF(AND(S88&gt;=90,H88&lt;=2),"値下げ・再出品・仕入停止を検討",IF(P88&lt;0.15,"送料・手数料を見直す","継続観察"))))</x:f>
      </x:c>
    </x:row>
    <x:row r="89">
      <x:c r="A89" s="95"/>
      <x:c r="B89" s="95"/>
      <x:c r="C89" s="95"/>
      <x:c r="D89" s="95"/>
      <x:c r="E89" s="95"/>
      <x:c r="F89" s="96"/>
      <x:c r="G89" s="96"/>
      <x:c r="H89" s="95"/>
      <x:c r="I89" s="97"/>
      <x:c r="J89" s="97"/>
      <x:c r="K89" s="98"/>
      <x:c r="L89" s="97"/>
      <x:c r="M89" s="97"/>
      <x:c r="N89" s="99" t="str">
        <x:f>IF(OR(I89="",K89=""),"",I89*K89)</x:f>
      </x:c>
      <x:c r="O89" s="99" t="str">
        <x:f>IF(OR(I89="",J89="",N89="",L89="",M89=""),"",I89-J89-N89-L89-M89)</x:f>
      </x:c>
      <x:c r="P89" s="100" t="str">
        <x:f>IFERROR(O89/I89,"")</x:f>
      </x:c>
      <x:c r="Q89" s="99" t="str">
        <x:f>IF(OR(H89="",I89=""),"",H89*I89)</x:f>
      </x:c>
      <x:c r="R89" s="99" t="str">
        <x:f>IF(OR(H89="",O89=""),"",H89*O89)</x:f>
      </x:c>
      <x:c r="S89" s="99" t="str">
        <x:f>IF(G89="","",$B$2-G89)</x:f>
      </x:c>
      <x:c r="T89" s="99" t="str">
        <x:f>IF(S89="","",IF(S89&gt;=90,"90日以上",IF(S89&gt;=60,"60-89日","59日以下")))</x:f>
      </x:c>
      <x:c r="U89" s="99" t="str">
        <x:f>IF(O89="","",IF(O89&lt;0,"赤字",IF(AND(S89&gt;=90,H89&lt;=2),"要見直し",IF(P89&lt;0.15,"低利益","通常"))))</x:f>
      </x:c>
      <x:c r="V89" s="99" t="str">
        <x:f>IF(U89="","",IF(U89="赤字",100,0)+IF(S89&gt;=90,50,0)+IF(P89&lt;0.15,30,0)+IF(E89&gt;=15,10,0))</x:f>
      </x:c>
      <x:c r="W89" s="101" t="str">
        <x:f>IF(U89="","",IF(U89="赤字","価格・原価・送料を再確認",IF(AND(S89&gt;=90,H89&lt;=2),"値下げ・再出品・仕入停止を検討",IF(P89&lt;0.15,"送料・手数料を見直す","継続観察"))))</x:f>
      </x:c>
    </x:row>
    <x:row r="90">
      <x:c r="A90" s="95"/>
      <x:c r="B90" s="95"/>
      <x:c r="C90" s="95"/>
      <x:c r="D90" s="95"/>
      <x:c r="E90" s="95"/>
      <x:c r="F90" s="96"/>
      <x:c r="G90" s="96"/>
      <x:c r="H90" s="95"/>
      <x:c r="I90" s="97"/>
      <x:c r="J90" s="97"/>
      <x:c r="K90" s="98"/>
      <x:c r="L90" s="97"/>
      <x:c r="M90" s="97"/>
      <x:c r="N90" s="99" t="str">
        <x:f>IF(OR(I90="",K90=""),"",I90*K90)</x:f>
      </x:c>
      <x:c r="O90" s="99" t="str">
        <x:f>IF(OR(I90="",J90="",N90="",L90="",M90=""),"",I90-J90-N90-L90-M90)</x:f>
      </x:c>
      <x:c r="P90" s="100" t="str">
        <x:f>IFERROR(O90/I90,"")</x:f>
      </x:c>
      <x:c r="Q90" s="99" t="str">
        <x:f>IF(OR(H90="",I90=""),"",H90*I90)</x:f>
      </x:c>
      <x:c r="R90" s="99" t="str">
        <x:f>IF(OR(H90="",O90=""),"",H90*O90)</x:f>
      </x:c>
      <x:c r="S90" s="99" t="str">
        <x:f>IF(G90="","",$B$2-G90)</x:f>
      </x:c>
      <x:c r="T90" s="99" t="str">
        <x:f>IF(S90="","",IF(S90&gt;=90,"90日以上",IF(S90&gt;=60,"60-89日","59日以下")))</x:f>
      </x:c>
      <x:c r="U90" s="99" t="str">
        <x:f>IF(O90="","",IF(O90&lt;0,"赤字",IF(AND(S90&gt;=90,H90&lt;=2),"要見直し",IF(P90&lt;0.15,"低利益","通常"))))</x:f>
      </x:c>
      <x:c r="V90" s="99" t="str">
        <x:f>IF(U90="","",IF(U90="赤字",100,0)+IF(S90&gt;=90,50,0)+IF(P90&lt;0.15,30,0)+IF(E90&gt;=15,10,0))</x:f>
      </x:c>
      <x:c r="W90" s="101" t="str">
        <x:f>IF(U90="","",IF(U90="赤字","価格・原価・送料を再確認",IF(AND(S90&gt;=90,H90&lt;=2),"値下げ・再出品・仕入停止を検討",IF(P90&lt;0.15,"送料・手数料を見直す","継続観察"))))</x:f>
      </x:c>
    </x:row>
    <x:row r="91">
      <x:c r="A91" s="95"/>
      <x:c r="B91" s="95"/>
      <x:c r="C91" s="95"/>
      <x:c r="D91" s="95"/>
      <x:c r="E91" s="95"/>
      <x:c r="F91" s="96"/>
      <x:c r="G91" s="96"/>
      <x:c r="H91" s="95"/>
      <x:c r="I91" s="97"/>
      <x:c r="J91" s="97"/>
      <x:c r="K91" s="98"/>
      <x:c r="L91" s="97"/>
      <x:c r="M91" s="97"/>
      <x:c r="N91" s="99" t="str">
        <x:f>IF(OR(I91="",K91=""),"",I91*K91)</x:f>
      </x:c>
      <x:c r="O91" s="99" t="str">
        <x:f>IF(OR(I91="",J91="",N91="",L91="",M91=""),"",I91-J91-N91-L91-M91)</x:f>
      </x:c>
      <x:c r="P91" s="100" t="str">
        <x:f>IFERROR(O91/I91,"")</x:f>
      </x:c>
      <x:c r="Q91" s="99" t="str">
        <x:f>IF(OR(H91="",I91=""),"",H91*I91)</x:f>
      </x:c>
      <x:c r="R91" s="99" t="str">
        <x:f>IF(OR(H91="",O91=""),"",H91*O91)</x:f>
      </x:c>
      <x:c r="S91" s="99" t="str">
        <x:f>IF(G91="","",$B$2-G91)</x:f>
      </x:c>
      <x:c r="T91" s="99" t="str">
        <x:f>IF(S91="","",IF(S91&gt;=90,"90日以上",IF(S91&gt;=60,"60-89日","59日以下")))</x:f>
      </x:c>
      <x:c r="U91" s="99" t="str">
        <x:f>IF(O91="","",IF(O91&lt;0,"赤字",IF(AND(S91&gt;=90,H91&lt;=2),"要見直し",IF(P91&lt;0.15,"低利益","通常"))))</x:f>
      </x:c>
      <x:c r="V91" s="99" t="str">
        <x:f>IF(U91="","",IF(U91="赤字",100,0)+IF(S91&gt;=90,50,0)+IF(P91&lt;0.15,30,0)+IF(E91&gt;=15,10,0))</x:f>
      </x:c>
      <x:c r="W91" s="101" t="str">
        <x:f>IF(U91="","",IF(U91="赤字","価格・原価・送料を再確認",IF(AND(S91&gt;=90,H91&lt;=2),"値下げ・再出品・仕入停止を検討",IF(P91&lt;0.15,"送料・手数料を見直す","継続観察"))))</x:f>
      </x:c>
    </x:row>
    <x:row r="92">
      <x:c r="A92" s="95"/>
      <x:c r="B92" s="95"/>
      <x:c r="C92" s="95"/>
      <x:c r="D92" s="95"/>
      <x:c r="E92" s="95"/>
      <x:c r="F92" s="96"/>
      <x:c r="G92" s="96"/>
      <x:c r="H92" s="95"/>
      <x:c r="I92" s="97"/>
      <x:c r="J92" s="97"/>
      <x:c r="K92" s="98"/>
      <x:c r="L92" s="97"/>
      <x:c r="M92" s="97"/>
      <x:c r="N92" s="99" t="str">
        <x:f>IF(OR(I92="",K92=""),"",I92*K92)</x:f>
      </x:c>
      <x:c r="O92" s="99" t="str">
        <x:f>IF(OR(I92="",J92="",N92="",L92="",M92=""),"",I92-J92-N92-L92-M92)</x:f>
      </x:c>
      <x:c r="P92" s="100" t="str">
        <x:f>IFERROR(O92/I92,"")</x:f>
      </x:c>
      <x:c r="Q92" s="99" t="str">
        <x:f>IF(OR(H92="",I92=""),"",H92*I92)</x:f>
      </x:c>
      <x:c r="R92" s="99" t="str">
        <x:f>IF(OR(H92="",O92=""),"",H92*O92)</x:f>
      </x:c>
      <x:c r="S92" s="99" t="str">
        <x:f>IF(G92="","",$B$2-G92)</x:f>
      </x:c>
      <x:c r="T92" s="99" t="str">
        <x:f>IF(S92="","",IF(S92&gt;=90,"90日以上",IF(S92&gt;=60,"60-89日","59日以下")))</x:f>
      </x:c>
      <x:c r="U92" s="99" t="str">
        <x:f>IF(O92="","",IF(O92&lt;0,"赤字",IF(AND(S92&gt;=90,H92&lt;=2),"要見直し",IF(P92&lt;0.15,"低利益","通常"))))</x:f>
      </x:c>
      <x:c r="V92" s="99" t="str">
        <x:f>IF(U92="","",IF(U92="赤字",100,0)+IF(S92&gt;=90,50,0)+IF(P92&lt;0.15,30,0)+IF(E92&gt;=15,10,0))</x:f>
      </x:c>
      <x:c r="W92" s="101" t="str">
        <x:f>IF(U92="","",IF(U92="赤字","価格・原価・送料を再確認",IF(AND(S92&gt;=90,H92&lt;=2),"値下げ・再出品・仕入停止を検討",IF(P92&lt;0.15,"送料・手数料を見直す","継続観察"))))</x:f>
      </x:c>
    </x:row>
    <x:row r="93">
      <x:c r="A93" s="95"/>
      <x:c r="B93" s="95"/>
      <x:c r="C93" s="95"/>
      <x:c r="D93" s="95"/>
      <x:c r="E93" s="95"/>
      <x:c r="F93" s="96"/>
      <x:c r="G93" s="96"/>
      <x:c r="H93" s="95"/>
      <x:c r="I93" s="97"/>
      <x:c r="J93" s="97"/>
      <x:c r="K93" s="98"/>
      <x:c r="L93" s="97"/>
      <x:c r="M93" s="97"/>
      <x:c r="N93" s="99" t="str">
        <x:f>IF(OR(I93="",K93=""),"",I93*K93)</x:f>
      </x:c>
      <x:c r="O93" s="99" t="str">
        <x:f>IF(OR(I93="",J93="",N93="",L93="",M93=""),"",I93-J93-N93-L93-M93)</x:f>
      </x:c>
      <x:c r="P93" s="100" t="str">
        <x:f>IFERROR(O93/I93,"")</x:f>
      </x:c>
      <x:c r="Q93" s="99" t="str">
        <x:f>IF(OR(H93="",I93=""),"",H93*I93)</x:f>
      </x:c>
      <x:c r="R93" s="99" t="str">
        <x:f>IF(OR(H93="",O93=""),"",H93*O93)</x:f>
      </x:c>
      <x:c r="S93" s="99" t="str">
        <x:f>IF(G93="","",$B$2-G93)</x:f>
      </x:c>
      <x:c r="T93" s="99" t="str">
        <x:f>IF(S93="","",IF(S93&gt;=90,"90日以上",IF(S93&gt;=60,"60-89日","59日以下")))</x:f>
      </x:c>
      <x:c r="U93" s="99" t="str">
        <x:f>IF(O93="","",IF(O93&lt;0,"赤字",IF(AND(S93&gt;=90,H93&lt;=2),"要見直し",IF(P93&lt;0.15,"低利益","通常"))))</x:f>
      </x:c>
      <x:c r="V93" s="99" t="str">
        <x:f>IF(U93="","",IF(U93="赤字",100,0)+IF(S93&gt;=90,50,0)+IF(P93&lt;0.15,30,0)+IF(E93&gt;=15,10,0))</x:f>
      </x:c>
      <x:c r="W93" s="101" t="str">
        <x:f>IF(U93="","",IF(U93="赤字","価格・原価・送料を再確認",IF(AND(S93&gt;=90,H93&lt;=2),"値下げ・再出品・仕入停止を検討",IF(P93&lt;0.15,"送料・手数料を見直す","継続観察"))))</x:f>
      </x:c>
    </x:row>
    <x:row r="94">
      <x:c r="A94" s="95"/>
      <x:c r="B94" s="95"/>
      <x:c r="C94" s="95"/>
      <x:c r="D94" s="95"/>
      <x:c r="E94" s="95"/>
      <x:c r="F94" s="96"/>
      <x:c r="G94" s="96"/>
      <x:c r="H94" s="95"/>
      <x:c r="I94" s="97"/>
      <x:c r="J94" s="97"/>
      <x:c r="K94" s="98"/>
      <x:c r="L94" s="97"/>
      <x:c r="M94" s="97"/>
      <x:c r="N94" s="99" t="str">
        <x:f>IF(OR(I94="",K94=""),"",I94*K94)</x:f>
      </x:c>
      <x:c r="O94" s="99" t="str">
        <x:f>IF(OR(I94="",J94="",N94="",L94="",M94=""),"",I94-J94-N94-L94-M94)</x:f>
      </x:c>
      <x:c r="P94" s="100" t="str">
        <x:f>IFERROR(O94/I94,"")</x:f>
      </x:c>
      <x:c r="Q94" s="99" t="str">
        <x:f>IF(OR(H94="",I94=""),"",H94*I94)</x:f>
      </x:c>
      <x:c r="R94" s="99" t="str">
        <x:f>IF(OR(H94="",O94=""),"",H94*O94)</x:f>
      </x:c>
      <x:c r="S94" s="99" t="str">
        <x:f>IF(G94="","",$B$2-G94)</x:f>
      </x:c>
      <x:c r="T94" s="99" t="str">
        <x:f>IF(S94="","",IF(S94&gt;=90,"90日以上",IF(S94&gt;=60,"60-89日","59日以下")))</x:f>
      </x:c>
      <x:c r="U94" s="99" t="str">
        <x:f>IF(O94="","",IF(O94&lt;0,"赤字",IF(AND(S94&gt;=90,H94&lt;=2),"要見直し",IF(P94&lt;0.15,"低利益","通常"))))</x:f>
      </x:c>
      <x:c r="V94" s="99" t="str">
        <x:f>IF(U94="","",IF(U94="赤字",100,0)+IF(S94&gt;=90,50,0)+IF(P94&lt;0.15,30,0)+IF(E94&gt;=15,10,0))</x:f>
      </x:c>
      <x:c r="W94" s="101" t="str">
        <x:f>IF(U94="","",IF(U94="赤字","価格・原価・送料を再確認",IF(AND(S94&gt;=90,H94&lt;=2),"値下げ・再出品・仕入停止を検討",IF(P94&lt;0.15,"送料・手数料を見直す","継続観察"))))</x:f>
      </x:c>
    </x:row>
    <x:row r="95">
      <x:c r="A95" s="95"/>
      <x:c r="B95" s="95"/>
      <x:c r="C95" s="95"/>
      <x:c r="D95" s="95"/>
      <x:c r="E95" s="95"/>
      <x:c r="F95" s="96"/>
      <x:c r="G95" s="96"/>
      <x:c r="H95" s="95"/>
      <x:c r="I95" s="97"/>
      <x:c r="J95" s="97"/>
      <x:c r="K95" s="98"/>
      <x:c r="L95" s="97"/>
      <x:c r="M95" s="97"/>
      <x:c r="N95" s="99" t="str">
        <x:f>IF(OR(I95="",K95=""),"",I95*K95)</x:f>
      </x:c>
      <x:c r="O95" s="99" t="str">
        <x:f>IF(OR(I95="",J95="",N95="",L95="",M95=""),"",I95-J95-N95-L95-M95)</x:f>
      </x:c>
      <x:c r="P95" s="100" t="str">
        <x:f>IFERROR(O95/I95,"")</x:f>
      </x:c>
      <x:c r="Q95" s="99" t="str">
        <x:f>IF(OR(H95="",I95=""),"",H95*I95)</x:f>
      </x:c>
      <x:c r="R95" s="99" t="str">
        <x:f>IF(OR(H95="",O95=""),"",H95*O95)</x:f>
      </x:c>
      <x:c r="S95" s="99" t="str">
        <x:f>IF(G95="","",$B$2-G95)</x:f>
      </x:c>
      <x:c r="T95" s="99" t="str">
        <x:f>IF(S95="","",IF(S95&gt;=90,"90日以上",IF(S95&gt;=60,"60-89日","59日以下")))</x:f>
      </x:c>
      <x:c r="U95" s="99" t="str">
        <x:f>IF(O95="","",IF(O95&lt;0,"赤字",IF(AND(S95&gt;=90,H95&lt;=2),"要見直し",IF(P95&lt;0.15,"低利益","通常"))))</x:f>
      </x:c>
      <x:c r="V95" s="99" t="str">
        <x:f>IF(U95="","",IF(U95="赤字",100,0)+IF(S95&gt;=90,50,0)+IF(P95&lt;0.15,30,0)+IF(E95&gt;=15,10,0))</x:f>
      </x:c>
      <x:c r="W95" s="101" t="str">
        <x:f>IF(U95="","",IF(U95="赤字","価格・原価・送料を再確認",IF(AND(S95&gt;=90,H95&lt;=2),"値下げ・再出品・仕入停止を検討",IF(P95&lt;0.15,"送料・手数料を見直す","継続観察"))))</x:f>
      </x:c>
    </x:row>
    <x:row r="96">
      <x:c r="A96" s="95"/>
      <x:c r="B96" s="95"/>
      <x:c r="C96" s="95"/>
      <x:c r="D96" s="95"/>
      <x:c r="E96" s="95"/>
      <x:c r="F96" s="96"/>
      <x:c r="G96" s="96"/>
      <x:c r="H96" s="95"/>
      <x:c r="I96" s="97"/>
      <x:c r="J96" s="97"/>
      <x:c r="K96" s="98"/>
      <x:c r="L96" s="97"/>
      <x:c r="M96" s="97"/>
      <x:c r="N96" s="99" t="str">
        <x:f>IF(OR(I96="",K96=""),"",I96*K96)</x:f>
      </x:c>
      <x:c r="O96" s="99" t="str">
        <x:f>IF(OR(I96="",J96="",N96="",L96="",M96=""),"",I96-J96-N96-L96-M96)</x:f>
      </x:c>
      <x:c r="P96" s="100" t="str">
        <x:f>IFERROR(O96/I96,"")</x:f>
      </x:c>
      <x:c r="Q96" s="99" t="str">
        <x:f>IF(OR(H96="",I96=""),"",H96*I96)</x:f>
      </x:c>
      <x:c r="R96" s="99" t="str">
        <x:f>IF(OR(H96="",O96=""),"",H96*O96)</x:f>
      </x:c>
      <x:c r="S96" s="99" t="str">
        <x:f>IF(G96="","",$B$2-G96)</x:f>
      </x:c>
      <x:c r="T96" s="99" t="str">
        <x:f>IF(S96="","",IF(S96&gt;=90,"90日以上",IF(S96&gt;=60,"60-89日","59日以下")))</x:f>
      </x:c>
      <x:c r="U96" s="99" t="str">
        <x:f>IF(O96="","",IF(O96&lt;0,"赤字",IF(AND(S96&gt;=90,H96&lt;=2),"要見直し",IF(P96&lt;0.15,"低利益","通常"))))</x:f>
      </x:c>
      <x:c r="V96" s="99" t="str">
        <x:f>IF(U96="","",IF(U96="赤字",100,0)+IF(S96&gt;=90,50,0)+IF(P96&lt;0.15,30,0)+IF(E96&gt;=15,10,0))</x:f>
      </x:c>
      <x:c r="W96" s="101" t="str">
        <x:f>IF(U96="","",IF(U96="赤字","価格・原価・送料を再確認",IF(AND(S96&gt;=90,H96&lt;=2),"値下げ・再出品・仕入停止を検討",IF(P96&lt;0.15,"送料・手数料を見直す","継続観察"))))</x:f>
      </x:c>
    </x:row>
    <x:row r="97">
      <x:c r="A97" s="95"/>
      <x:c r="B97" s="95"/>
      <x:c r="C97" s="95"/>
      <x:c r="D97" s="95"/>
      <x:c r="E97" s="95"/>
      <x:c r="F97" s="96"/>
      <x:c r="G97" s="96"/>
      <x:c r="H97" s="95"/>
      <x:c r="I97" s="97"/>
      <x:c r="J97" s="97"/>
      <x:c r="K97" s="98"/>
      <x:c r="L97" s="97"/>
      <x:c r="M97" s="97"/>
      <x:c r="N97" s="99" t="str">
        <x:f>IF(OR(I97="",K97=""),"",I97*K97)</x:f>
      </x:c>
      <x:c r="O97" s="99" t="str">
        <x:f>IF(OR(I97="",J97="",N97="",L97="",M97=""),"",I97-J97-N97-L97-M97)</x:f>
      </x:c>
      <x:c r="P97" s="100" t="str">
        <x:f>IFERROR(O97/I97,"")</x:f>
      </x:c>
      <x:c r="Q97" s="99" t="str">
        <x:f>IF(OR(H97="",I97=""),"",H97*I97)</x:f>
      </x:c>
      <x:c r="R97" s="99" t="str">
        <x:f>IF(OR(H97="",O97=""),"",H97*O97)</x:f>
      </x:c>
      <x:c r="S97" s="99" t="str">
        <x:f>IF(G97="","",$B$2-G97)</x:f>
      </x:c>
      <x:c r="T97" s="99" t="str">
        <x:f>IF(S97="","",IF(S97&gt;=90,"90日以上",IF(S97&gt;=60,"60-89日","59日以下")))</x:f>
      </x:c>
      <x:c r="U97" s="99" t="str">
        <x:f>IF(O97="","",IF(O97&lt;0,"赤字",IF(AND(S97&gt;=90,H97&lt;=2),"要見直し",IF(P97&lt;0.15,"低利益","通常"))))</x:f>
      </x:c>
      <x:c r="V97" s="99" t="str">
        <x:f>IF(U97="","",IF(U97="赤字",100,0)+IF(S97&gt;=90,50,0)+IF(P97&lt;0.15,30,0)+IF(E97&gt;=15,10,0))</x:f>
      </x:c>
      <x:c r="W97" s="101" t="str">
        <x:f>IF(U97="","",IF(U97="赤字","価格・原価・送料を再確認",IF(AND(S97&gt;=90,H97&lt;=2),"値下げ・再出品・仕入停止を検討",IF(P97&lt;0.15,"送料・手数料を見直す","継続観察"))))</x:f>
      </x:c>
    </x:row>
    <x:row r="98">
      <x:c r="A98" s="95"/>
      <x:c r="B98" s="95"/>
      <x:c r="C98" s="95"/>
      <x:c r="D98" s="95"/>
      <x:c r="E98" s="95"/>
      <x:c r="F98" s="96"/>
      <x:c r="G98" s="96"/>
      <x:c r="H98" s="95"/>
      <x:c r="I98" s="97"/>
      <x:c r="J98" s="97"/>
      <x:c r="K98" s="98"/>
      <x:c r="L98" s="97"/>
      <x:c r="M98" s="97"/>
      <x:c r="N98" s="99" t="str">
        <x:f>IF(OR(I98="",K98=""),"",I98*K98)</x:f>
      </x:c>
      <x:c r="O98" s="99" t="str">
        <x:f>IF(OR(I98="",J98="",N98="",L98="",M98=""),"",I98-J98-N98-L98-M98)</x:f>
      </x:c>
      <x:c r="P98" s="100" t="str">
        <x:f>IFERROR(O98/I98,"")</x:f>
      </x:c>
      <x:c r="Q98" s="99" t="str">
        <x:f>IF(OR(H98="",I98=""),"",H98*I98)</x:f>
      </x:c>
      <x:c r="R98" s="99" t="str">
        <x:f>IF(OR(H98="",O98=""),"",H98*O98)</x:f>
      </x:c>
      <x:c r="S98" s="99" t="str">
        <x:f>IF(G98="","",$B$2-G98)</x:f>
      </x:c>
      <x:c r="T98" s="99" t="str">
        <x:f>IF(S98="","",IF(S98&gt;=90,"90日以上",IF(S98&gt;=60,"60-89日","59日以下")))</x:f>
      </x:c>
      <x:c r="U98" s="99" t="str">
        <x:f>IF(O98="","",IF(O98&lt;0,"赤字",IF(AND(S98&gt;=90,H98&lt;=2),"要見直し",IF(P98&lt;0.15,"低利益","通常"))))</x:f>
      </x:c>
      <x:c r="V98" s="99" t="str">
        <x:f>IF(U98="","",IF(U98="赤字",100,0)+IF(S98&gt;=90,50,0)+IF(P98&lt;0.15,30,0)+IF(E98&gt;=15,10,0))</x:f>
      </x:c>
      <x:c r="W98" s="101" t="str">
        <x:f>IF(U98="","",IF(U98="赤字","価格・原価・送料を再確認",IF(AND(S98&gt;=90,H98&lt;=2),"値下げ・再出品・仕入停止を検討",IF(P98&lt;0.15,"送料・手数料を見直す","継続観察"))))</x:f>
      </x:c>
    </x:row>
    <x:row r="99">
      <x:c r="A99" s="95"/>
      <x:c r="B99" s="95"/>
      <x:c r="C99" s="95"/>
      <x:c r="D99" s="95"/>
      <x:c r="E99" s="95"/>
      <x:c r="F99" s="96"/>
      <x:c r="G99" s="96"/>
      <x:c r="H99" s="95"/>
      <x:c r="I99" s="97"/>
      <x:c r="J99" s="97"/>
      <x:c r="K99" s="98"/>
      <x:c r="L99" s="97"/>
      <x:c r="M99" s="97"/>
      <x:c r="N99" s="99" t="str">
        <x:f>IF(OR(I99="",K99=""),"",I99*K99)</x:f>
      </x:c>
      <x:c r="O99" s="99" t="str">
        <x:f>IF(OR(I99="",J99="",N99="",L99="",M99=""),"",I99-J99-N99-L99-M99)</x:f>
      </x:c>
      <x:c r="P99" s="100" t="str">
        <x:f>IFERROR(O99/I99,"")</x:f>
      </x:c>
      <x:c r="Q99" s="99" t="str">
        <x:f>IF(OR(H99="",I99=""),"",H99*I99)</x:f>
      </x:c>
      <x:c r="R99" s="99" t="str">
        <x:f>IF(OR(H99="",O99=""),"",H99*O99)</x:f>
      </x:c>
      <x:c r="S99" s="99" t="str">
        <x:f>IF(G99="","",$B$2-G99)</x:f>
      </x:c>
      <x:c r="T99" s="99" t="str">
        <x:f>IF(S99="","",IF(S99&gt;=90,"90日以上",IF(S99&gt;=60,"60-89日","59日以下")))</x:f>
      </x:c>
      <x:c r="U99" s="99" t="str">
        <x:f>IF(O99="","",IF(O99&lt;0,"赤字",IF(AND(S99&gt;=90,H99&lt;=2),"要見直し",IF(P99&lt;0.15,"低利益","通常"))))</x:f>
      </x:c>
      <x:c r="V99" s="99" t="str">
        <x:f>IF(U99="","",IF(U99="赤字",100,0)+IF(S99&gt;=90,50,0)+IF(P99&lt;0.15,30,0)+IF(E99&gt;=15,10,0))</x:f>
      </x:c>
      <x:c r="W99" s="101" t="str">
        <x:f>IF(U99="","",IF(U99="赤字","価格・原価・送料を再確認",IF(AND(S99&gt;=90,H99&lt;=2),"値下げ・再出品・仕入停止を検討",IF(P99&lt;0.15,"送料・手数料を見直す","継続観察"))))</x:f>
      </x:c>
    </x:row>
    <x:row r="100">
      <x:c r="A100" s="95"/>
      <x:c r="B100" s="95"/>
      <x:c r="C100" s="95"/>
      <x:c r="D100" s="95"/>
      <x:c r="E100" s="95"/>
      <x:c r="F100" s="96"/>
      <x:c r="G100" s="96"/>
      <x:c r="H100" s="95"/>
      <x:c r="I100" s="97"/>
      <x:c r="J100" s="97"/>
      <x:c r="K100" s="98"/>
      <x:c r="L100" s="97"/>
      <x:c r="M100" s="97"/>
      <x:c r="N100" s="99" t="str">
        <x:f>IF(OR(I100="",K100=""),"",I100*K100)</x:f>
      </x:c>
      <x:c r="O100" s="99" t="str">
        <x:f>IF(OR(I100="",J100="",N100="",L100="",M100=""),"",I100-J100-N100-L100-M100)</x:f>
      </x:c>
      <x:c r="P100" s="100" t="str">
        <x:f>IFERROR(O100/I100,"")</x:f>
      </x:c>
      <x:c r="Q100" s="99" t="str">
        <x:f>IF(OR(H100="",I100=""),"",H100*I100)</x:f>
      </x:c>
      <x:c r="R100" s="99" t="str">
        <x:f>IF(OR(H100="",O100=""),"",H100*O100)</x:f>
      </x:c>
      <x:c r="S100" s="99" t="str">
        <x:f>IF(G100="","",$B$2-G100)</x:f>
      </x:c>
      <x:c r="T100" s="99" t="str">
        <x:f>IF(S100="","",IF(S100&gt;=90,"90日以上",IF(S100&gt;=60,"60-89日","59日以下")))</x:f>
      </x:c>
      <x:c r="U100" s="99" t="str">
        <x:f>IF(O100="","",IF(O100&lt;0,"赤字",IF(AND(S100&gt;=90,H100&lt;=2),"要見直し",IF(P100&lt;0.15,"低利益","通常"))))</x:f>
      </x:c>
      <x:c r="V100" s="99" t="str">
        <x:f>IF(U100="","",IF(U100="赤字",100,0)+IF(S100&gt;=90,50,0)+IF(P100&lt;0.15,30,0)+IF(E100&gt;=15,10,0))</x:f>
      </x:c>
      <x:c r="W100" s="101" t="str">
        <x:f>IF(U100="","",IF(U100="赤字","価格・原価・送料を再確認",IF(AND(S100&gt;=90,H100&lt;=2),"値下げ・再出品・仕入停止を検討",IF(P100&lt;0.15,"送料・手数料を見直す","継続観察"))))</x:f>
      </x:c>
    </x:row>
    <x:row r="101">
      <x:c r="A101" s="95"/>
      <x:c r="B101" s="95"/>
      <x:c r="C101" s="95"/>
      <x:c r="D101" s="95"/>
      <x:c r="E101" s="95"/>
      <x:c r="F101" s="96"/>
      <x:c r="G101" s="96"/>
      <x:c r="H101" s="95"/>
      <x:c r="I101" s="97"/>
      <x:c r="J101" s="97"/>
      <x:c r="K101" s="98"/>
      <x:c r="L101" s="97"/>
      <x:c r="M101" s="97"/>
      <x:c r="N101" s="99" t="str">
        <x:f>IF(OR(I101="",K101=""),"",I101*K101)</x:f>
      </x:c>
      <x:c r="O101" s="99" t="str">
        <x:f>IF(OR(I101="",J101="",N101="",L101="",M101=""),"",I101-J101-N101-L101-M101)</x:f>
      </x:c>
      <x:c r="P101" s="100" t="str">
        <x:f>IFERROR(O101/I101,"")</x:f>
      </x:c>
      <x:c r="Q101" s="99" t="str">
        <x:f>IF(OR(H101="",I101=""),"",H101*I101)</x:f>
      </x:c>
      <x:c r="R101" s="99" t="str">
        <x:f>IF(OR(H101="",O101=""),"",H101*O101)</x:f>
      </x:c>
      <x:c r="S101" s="99" t="str">
        <x:f>IF(G101="","",$B$2-G101)</x:f>
      </x:c>
      <x:c r="T101" s="99" t="str">
        <x:f>IF(S101="","",IF(S101&gt;=90,"90日以上",IF(S101&gt;=60,"60-89日","59日以下")))</x:f>
      </x:c>
      <x:c r="U101" s="99" t="str">
        <x:f>IF(O101="","",IF(O101&lt;0,"赤字",IF(AND(S101&gt;=90,H101&lt;=2),"要見直し",IF(P101&lt;0.15,"低利益","通常"))))</x:f>
      </x:c>
      <x:c r="V101" s="99" t="str">
        <x:f>IF(U101="","",IF(U101="赤字",100,0)+IF(S101&gt;=90,50,0)+IF(P101&lt;0.15,30,0)+IF(E101&gt;=15,10,0))</x:f>
      </x:c>
      <x:c r="W101" s="101" t="str">
        <x:f>IF(U101="","",IF(U101="赤字","価格・原価・送料を再確認",IF(AND(S101&gt;=90,H101&lt;=2),"値下げ・再出品・仕入停止を検討",IF(P101&lt;0.15,"送料・手数料を見直す","継続観察"))))</x:f>
      </x:c>
    </x:row>
    <x:row r="102">
      <x:c r="A102" s="95"/>
      <x:c r="B102" s="95"/>
      <x:c r="C102" s="95"/>
      <x:c r="D102" s="95"/>
      <x:c r="E102" s="95"/>
      <x:c r="F102" s="96"/>
      <x:c r="G102" s="96"/>
      <x:c r="H102" s="95"/>
      <x:c r="I102" s="97"/>
      <x:c r="J102" s="97"/>
      <x:c r="K102" s="98"/>
      <x:c r="L102" s="97"/>
      <x:c r="M102" s="97"/>
      <x:c r="N102" s="99" t="str">
        <x:f>IF(OR(I102="",K102=""),"",I102*K102)</x:f>
      </x:c>
      <x:c r="O102" s="99" t="str">
        <x:f>IF(OR(I102="",J102="",N102="",L102="",M102=""),"",I102-J102-N102-L102-M102)</x:f>
      </x:c>
      <x:c r="P102" s="100" t="str">
        <x:f>IFERROR(O102/I102,"")</x:f>
      </x:c>
      <x:c r="Q102" s="99" t="str">
        <x:f>IF(OR(H102="",I102=""),"",H102*I102)</x:f>
      </x:c>
      <x:c r="R102" s="99" t="str">
        <x:f>IF(OR(H102="",O102=""),"",H102*O102)</x:f>
      </x:c>
      <x:c r="S102" s="99" t="str">
        <x:f>IF(G102="","",$B$2-G102)</x:f>
      </x:c>
      <x:c r="T102" s="99" t="str">
        <x:f>IF(S102="","",IF(S102&gt;=90,"90日以上",IF(S102&gt;=60,"60-89日","59日以下")))</x:f>
      </x:c>
      <x:c r="U102" s="99" t="str">
        <x:f>IF(O102="","",IF(O102&lt;0,"赤字",IF(AND(S102&gt;=90,H102&lt;=2),"要見直し",IF(P102&lt;0.15,"低利益","通常"))))</x:f>
      </x:c>
      <x:c r="V102" s="99" t="str">
        <x:f>IF(U102="","",IF(U102="赤字",100,0)+IF(S102&gt;=90,50,0)+IF(P102&lt;0.15,30,0)+IF(E102&gt;=15,10,0))</x:f>
      </x:c>
      <x:c r="W102" s="101" t="str">
        <x:f>IF(U102="","",IF(U102="赤字","価格・原価・送料を再確認",IF(AND(S102&gt;=90,H102&lt;=2),"値下げ・再出品・仕入停止を検討",IF(P102&lt;0.15,"送料・手数料を見直す","継続観察"))))</x:f>
      </x:c>
    </x:row>
    <x:row r="103">
      <x:c r="A103" s="95"/>
      <x:c r="B103" s="95"/>
      <x:c r="C103" s="95"/>
      <x:c r="D103" s="95"/>
      <x:c r="E103" s="95"/>
      <x:c r="F103" s="96"/>
      <x:c r="G103" s="96"/>
      <x:c r="H103" s="95"/>
      <x:c r="I103" s="97"/>
      <x:c r="J103" s="97"/>
      <x:c r="K103" s="98"/>
      <x:c r="L103" s="97"/>
      <x:c r="M103" s="97"/>
      <x:c r="N103" s="99" t="str">
        <x:f>IF(OR(I103="",K103=""),"",I103*K103)</x:f>
      </x:c>
      <x:c r="O103" s="99" t="str">
        <x:f>IF(OR(I103="",J103="",N103="",L103="",M103=""),"",I103-J103-N103-L103-M103)</x:f>
      </x:c>
      <x:c r="P103" s="100" t="str">
        <x:f>IFERROR(O103/I103,"")</x:f>
      </x:c>
      <x:c r="Q103" s="99" t="str">
        <x:f>IF(OR(H103="",I103=""),"",H103*I103)</x:f>
      </x:c>
      <x:c r="R103" s="99" t="str">
        <x:f>IF(OR(H103="",O103=""),"",H103*O103)</x:f>
      </x:c>
      <x:c r="S103" s="99" t="str">
        <x:f>IF(G103="","",$B$2-G103)</x:f>
      </x:c>
      <x:c r="T103" s="99" t="str">
        <x:f>IF(S103="","",IF(S103&gt;=90,"90日以上",IF(S103&gt;=60,"60-89日","59日以下")))</x:f>
      </x:c>
      <x:c r="U103" s="99" t="str">
        <x:f>IF(O103="","",IF(O103&lt;0,"赤字",IF(AND(S103&gt;=90,H103&lt;=2),"要見直し",IF(P103&lt;0.15,"低利益","通常"))))</x:f>
      </x:c>
      <x:c r="V103" s="99" t="str">
        <x:f>IF(U103="","",IF(U103="赤字",100,0)+IF(S103&gt;=90,50,0)+IF(P103&lt;0.15,30,0)+IF(E103&gt;=15,10,0))</x:f>
      </x:c>
      <x:c r="W103" s="101" t="str">
        <x:f>IF(U103="","",IF(U103="赤字","価格・原価・送料を再確認",IF(AND(S103&gt;=90,H103&lt;=2),"値下げ・再出品・仕入停止を検討",IF(P103&lt;0.15,"送料・手数料を見直す","継続観察"))))</x:f>
      </x:c>
    </x:row>
    <x:row r="104">
      <x:c r="A104" s="95"/>
      <x:c r="B104" s="95"/>
      <x:c r="C104" s="95"/>
      <x:c r="D104" s="95"/>
      <x:c r="E104" s="95"/>
      <x:c r="F104" s="96"/>
      <x:c r="G104" s="96"/>
      <x:c r="H104" s="95"/>
      <x:c r="I104" s="97"/>
      <x:c r="J104" s="97"/>
      <x:c r="K104" s="98"/>
      <x:c r="L104" s="97"/>
      <x:c r="M104" s="97"/>
      <x:c r="N104" s="99" t="str">
        <x:f>IF(OR(I104="",K104=""),"",I104*K104)</x:f>
      </x:c>
      <x:c r="O104" s="99" t="str">
        <x:f>IF(OR(I104="",J104="",N104="",L104="",M104=""),"",I104-J104-N104-L104-M104)</x:f>
      </x:c>
      <x:c r="P104" s="100" t="str">
        <x:f>IFERROR(O104/I104,"")</x:f>
      </x:c>
      <x:c r="Q104" s="99" t="str">
        <x:f>IF(OR(H104="",I104=""),"",H104*I104)</x:f>
      </x:c>
      <x:c r="R104" s="99" t="str">
        <x:f>IF(OR(H104="",O104=""),"",H104*O104)</x:f>
      </x:c>
      <x:c r="S104" s="99" t="str">
        <x:f>IF(G104="","",$B$2-G104)</x:f>
      </x:c>
      <x:c r="T104" s="99" t="str">
        <x:f>IF(S104="","",IF(S104&gt;=90,"90日以上",IF(S104&gt;=60,"60-89日","59日以下")))</x:f>
      </x:c>
      <x:c r="U104" s="99" t="str">
        <x:f>IF(O104="","",IF(O104&lt;0,"赤字",IF(AND(S104&gt;=90,H104&lt;=2),"要見直し",IF(P104&lt;0.15,"低利益","通常"))))</x:f>
      </x:c>
      <x:c r="V104" s="99" t="str">
        <x:f>IF(U104="","",IF(U104="赤字",100,0)+IF(S104&gt;=90,50,0)+IF(P104&lt;0.15,30,0)+IF(E104&gt;=15,10,0))</x:f>
      </x:c>
      <x:c r="W104" s="101" t="str">
        <x:f>IF(U104="","",IF(U104="赤字","価格・原価・送料を再確認",IF(AND(S104&gt;=90,H104&lt;=2),"値下げ・再出品・仕入停止を検討",IF(P104&lt;0.15,"送料・手数料を見直す","継続観察"))))</x:f>
      </x:c>
    </x:row>
    <x:row r="105">
      <x:c r="A105" s="95"/>
      <x:c r="B105" s="95"/>
      <x:c r="C105" s="95"/>
      <x:c r="D105" s="95"/>
      <x:c r="E105" s="95"/>
      <x:c r="F105" s="96"/>
      <x:c r="G105" s="96"/>
      <x:c r="H105" s="95"/>
      <x:c r="I105" s="97"/>
      <x:c r="J105" s="97"/>
      <x:c r="K105" s="98"/>
      <x:c r="L105" s="97"/>
      <x:c r="M105" s="97"/>
      <x:c r="N105" s="99" t="str">
        <x:f>IF(OR(I105="",K105=""),"",I105*K105)</x:f>
      </x:c>
      <x:c r="O105" s="99" t="str">
        <x:f>IF(OR(I105="",J105="",N105="",L105="",M105=""),"",I105-J105-N105-L105-M105)</x:f>
      </x:c>
      <x:c r="P105" s="100" t="str">
        <x:f>IFERROR(O105/I105,"")</x:f>
      </x:c>
      <x:c r="Q105" s="99" t="str">
        <x:f>IF(OR(H105="",I105=""),"",H105*I105)</x:f>
      </x:c>
      <x:c r="R105" s="99" t="str">
        <x:f>IF(OR(H105="",O105=""),"",H105*O105)</x:f>
      </x:c>
      <x:c r="S105" s="99" t="str">
        <x:f>IF(G105="","",$B$2-G105)</x:f>
      </x:c>
      <x:c r="T105" s="99" t="str">
        <x:f>IF(S105="","",IF(S105&gt;=90,"90日以上",IF(S105&gt;=60,"60-89日","59日以下")))</x:f>
      </x:c>
      <x:c r="U105" s="99" t="str">
        <x:f>IF(O105="","",IF(O105&lt;0,"赤字",IF(AND(S105&gt;=90,H105&lt;=2),"要見直し",IF(P105&lt;0.15,"低利益","通常"))))</x:f>
      </x:c>
      <x:c r="V105" s="99" t="str">
        <x:f>IF(U105="","",IF(U105="赤字",100,0)+IF(S105&gt;=90,50,0)+IF(P105&lt;0.15,30,0)+IF(E105&gt;=15,10,0))</x:f>
      </x:c>
      <x:c r="W105" s="101" t="str">
        <x:f>IF(U105="","",IF(U105="赤字","価格・原価・送料を再確認",IF(AND(S105&gt;=90,H105&lt;=2),"値下げ・再出品・仕入停止を検討",IF(P105&lt;0.15,"送料・手数料を見直す","継続観察"))))</x:f>
      </x:c>
    </x:row>
    <x:row r="106">
      <x:c r="A106" s="95"/>
      <x:c r="B106" s="95"/>
      <x:c r="C106" s="95"/>
      <x:c r="D106" s="95"/>
      <x:c r="E106" s="95"/>
      <x:c r="F106" s="96"/>
      <x:c r="G106" s="96"/>
      <x:c r="H106" s="95"/>
      <x:c r="I106" s="97"/>
      <x:c r="J106" s="97"/>
      <x:c r="K106" s="98"/>
      <x:c r="L106" s="97"/>
      <x:c r="M106" s="97"/>
      <x:c r="N106" s="99" t="str">
        <x:f>IF(OR(I106="",K106=""),"",I106*K106)</x:f>
      </x:c>
      <x:c r="O106" s="99" t="str">
        <x:f>IF(OR(I106="",J106="",N106="",L106="",M106=""),"",I106-J106-N106-L106-M106)</x:f>
      </x:c>
      <x:c r="P106" s="100" t="str">
        <x:f>IFERROR(O106/I106,"")</x:f>
      </x:c>
      <x:c r="Q106" s="99" t="str">
        <x:f>IF(OR(H106="",I106=""),"",H106*I106)</x:f>
      </x:c>
      <x:c r="R106" s="99" t="str">
        <x:f>IF(OR(H106="",O106=""),"",H106*O106)</x:f>
      </x:c>
      <x:c r="S106" s="99" t="str">
        <x:f>IF(G106="","",$B$2-G106)</x:f>
      </x:c>
      <x:c r="T106" s="99" t="str">
        <x:f>IF(S106="","",IF(S106&gt;=90,"90日以上",IF(S106&gt;=60,"60-89日","59日以下")))</x:f>
      </x:c>
      <x:c r="U106" s="99" t="str">
        <x:f>IF(O106="","",IF(O106&lt;0,"赤字",IF(AND(S106&gt;=90,H106&lt;=2),"要見直し",IF(P106&lt;0.15,"低利益","通常"))))</x:f>
      </x:c>
      <x:c r="V106" s="99" t="str">
        <x:f>IF(U106="","",IF(U106="赤字",100,0)+IF(S106&gt;=90,50,0)+IF(P106&lt;0.15,30,0)+IF(E106&gt;=15,10,0))</x:f>
      </x:c>
      <x:c r="W106" s="101" t="str">
        <x:f>IF(U106="","",IF(U106="赤字","価格・原価・送料を再確認",IF(AND(S106&gt;=90,H106&lt;=2),"値下げ・再出品・仕入停止を検討",IF(P106&lt;0.15,"送料・手数料を見直す","継続観察"))))</x:f>
      </x:c>
    </x:row>
    <x:row r="107">
      <x:c r="A107" s="95"/>
      <x:c r="B107" s="95"/>
      <x:c r="C107" s="95"/>
      <x:c r="D107" s="95"/>
      <x:c r="E107" s="95"/>
      <x:c r="F107" s="96"/>
      <x:c r="G107" s="96"/>
      <x:c r="H107" s="95"/>
      <x:c r="I107" s="97"/>
      <x:c r="J107" s="97"/>
      <x:c r="K107" s="98"/>
      <x:c r="L107" s="97"/>
      <x:c r="M107" s="97"/>
      <x:c r="N107" s="99" t="str">
        <x:f>IF(OR(I107="",K107=""),"",I107*K107)</x:f>
      </x:c>
      <x:c r="O107" s="99" t="str">
        <x:f>IF(OR(I107="",J107="",N107="",L107="",M107=""),"",I107-J107-N107-L107-M107)</x:f>
      </x:c>
      <x:c r="P107" s="100" t="str">
        <x:f>IFERROR(O107/I107,"")</x:f>
      </x:c>
      <x:c r="Q107" s="99" t="str">
        <x:f>IF(OR(H107="",I107=""),"",H107*I107)</x:f>
      </x:c>
      <x:c r="R107" s="99" t="str">
        <x:f>IF(OR(H107="",O107=""),"",H107*O107)</x:f>
      </x:c>
      <x:c r="S107" s="99" t="str">
        <x:f>IF(G107="","",$B$2-G107)</x:f>
      </x:c>
      <x:c r="T107" s="99" t="str">
        <x:f>IF(S107="","",IF(S107&gt;=90,"90日以上",IF(S107&gt;=60,"60-89日","59日以下")))</x:f>
      </x:c>
      <x:c r="U107" s="99" t="str">
        <x:f>IF(O107="","",IF(O107&lt;0,"赤字",IF(AND(S107&gt;=90,H107&lt;=2),"要見直し",IF(P107&lt;0.15,"低利益","通常"))))</x:f>
      </x:c>
      <x:c r="V107" s="99" t="str">
        <x:f>IF(U107="","",IF(U107="赤字",100,0)+IF(S107&gt;=90,50,0)+IF(P107&lt;0.15,30,0)+IF(E107&gt;=15,10,0))</x:f>
      </x:c>
      <x:c r="W107" s="101" t="str">
        <x:f>IF(U107="","",IF(U107="赤字","価格・原価・送料を再確認",IF(AND(S107&gt;=90,H107&lt;=2),"値下げ・再出品・仕入停止を検討",IF(P107&lt;0.15,"送料・手数料を見直す","継続観察"))))</x:f>
      </x:c>
    </x:row>
    <x:row r="108">
      <x:c r="A108" s="95"/>
      <x:c r="B108" s="95"/>
      <x:c r="C108" s="95"/>
      <x:c r="D108" s="95"/>
      <x:c r="E108" s="95"/>
      <x:c r="F108" s="96"/>
      <x:c r="G108" s="96"/>
      <x:c r="H108" s="95"/>
      <x:c r="I108" s="97"/>
      <x:c r="J108" s="97"/>
      <x:c r="K108" s="98"/>
      <x:c r="L108" s="97"/>
      <x:c r="M108" s="97"/>
      <x:c r="N108" s="99" t="str">
        <x:f>IF(OR(I108="",K108=""),"",I108*K108)</x:f>
      </x:c>
      <x:c r="O108" s="99" t="str">
        <x:f>IF(OR(I108="",J108="",N108="",L108="",M108=""),"",I108-J108-N108-L108-M108)</x:f>
      </x:c>
      <x:c r="P108" s="100" t="str">
        <x:f>IFERROR(O108/I108,"")</x:f>
      </x:c>
      <x:c r="Q108" s="99" t="str">
        <x:f>IF(OR(H108="",I108=""),"",H108*I108)</x:f>
      </x:c>
      <x:c r="R108" s="99" t="str">
        <x:f>IF(OR(H108="",O108=""),"",H108*O108)</x:f>
      </x:c>
      <x:c r="S108" s="99" t="str">
        <x:f>IF(G108="","",$B$2-G108)</x:f>
      </x:c>
      <x:c r="T108" s="99" t="str">
        <x:f>IF(S108="","",IF(S108&gt;=90,"90日以上",IF(S108&gt;=60,"60-89日","59日以下")))</x:f>
      </x:c>
      <x:c r="U108" s="99" t="str">
        <x:f>IF(O108="","",IF(O108&lt;0,"赤字",IF(AND(S108&gt;=90,H108&lt;=2),"要見直し",IF(P108&lt;0.15,"低利益","通常"))))</x:f>
      </x:c>
      <x:c r="V108" s="99" t="str">
        <x:f>IF(U108="","",IF(U108="赤字",100,0)+IF(S108&gt;=90,50,0)+IF(P108&lt;0.15,30,0)+IF(E108&gt;=15,10,0))</x:f>
      </x:c>
      <x:c r="W108" s="101" t="str">
        <x:f>IF(U108="","",IF(U108="赤字","価格・原価・送料を再確認",IF(AND(S108&gt;=90,H108&lt;=2),"値下げ・再出品・仕入停止を検討",IF(P108&lt;0.15,"送料・手数料を見直す","継続観察"))))</x:f>
      </x:c>
    </x:row>
    <x:row r="109">
      <x:c r="A109" s="95"/>
      <x:c r="B109" s="95"/>
      <x:c r="C109" s="95"/>
      <x:c r="D109" s="95"/>
      <x:c r="E109" s="95"/>
      <x:c r="F109" s="96"/>
      <x:c r="G109" s="96"/>
      <x:c r="H109" s="95"/>
      <x:c r="I109" s="97"/>
      <x:c r="J109" s="97"/>
      <x:c r="K109" s="98"/>
      <x:c r="L109" s="97"/>
      <x:c r="M109" s="97"/>
      <x:c r="N109" s="99" t="str">
        <x:f>IF(OR(I109="",K109=""),"",I109*K109)</x:f>
      </x:c>
      <x:c r="O109" s="99" t="str">
        <x:f>IF(OR(I109="",J109="",N109="",L109="",M109=""),"",I109-J109-N109-L109-M109)</x:f>
      </x:c>
      <x:c r="P109" s="100" t="str">
        <x:f>IFERROR(O109/I109,"")</x:f>
      </x:c>
      <x:c r="Q109" s="99" t="str">
        <x:f>IF(OR(H109="",I109=""),"",H109*I109)</x:f>
      </x:c>
      <x:c r="R109" s="99" t="str">
        <x:f>IF(OR(H109="",O109=""),"",H109*O109)</x:f>
      </x:c>
      <x:c r="S109" s="99" t="str">
        <x:f>IF(G109="","",$B$2-G109)</x:f>
      </x:c>
      <x:c r="T109" s="99" t="str">
        <x:f>IF(S109="","",IF(S109&gt;=90,"90日以上",IF(S109&gt;=60,"60-89日","59日以下")))</x:f>
      </x:c>
      <x:c r="U109" s="99" t="str">
        <x:f>IF(O109="","",IF(O109&lt;0,"赤字",IF(AND(S109&gt;=90,H109&lt;=2),"要見直し",IF(P109&lt;0.15,"低利益","通常"))))</x:f>
      </x:c>
      <x:c r="V109" s="99" t="str">
        <x:f>IF(U109="","",IF(U109="赤字",100,0)+IF(S109&gt;=90,50,0)+IF(P109&lt;0.15,30,0)+IF(E109&gt;=15,10,0))</x:f>
      </x:c>
      <x:c r="W109" s="101" t="str">
        <x:f>IF(U109="","",IF(U109="赤字","価格・原価・送料を再確認",IF(AND(S109&gt;=90,H109&lt;=2),"値下げ・再出品・仕入停止を検討",IF(P109&lt;0.15,"送料・手数料を見直す","継続観察"))))</x:f>
      </x:c>
    </x:row>
    <x:row r="110">
      <x:c r="A110" s="95"/>
      <x:c r="B110" s="95"/>
      <x:c r="C110" s="95"/>
      <x:c r="D110" s="95"/>
      <x:c r="E110" s="95"/>
      <x:c r="F110" s="96"/>
      <x:c r="G110" s="96"/>
      <x:c r="H110" s="95"/>
      <x:c r="I110" s="97"/>
      <x:c r="J110" s="97"/>
      <x:c r="K110" s="98"/>
      <x:c r="L110" s="97"/>
      <x:c r="M110" s="97"/>
      <x:c r="N110" s="99" t="str">
        <x:f>IF(OR(I110="",K110=""),"",I110*K110)</x:f>
      </x:c>
      <x:c r="O110" s="99" t="str">
        <x:f>IF(OR(I110="",J110="",N110="",L110="",M110=""),"",I110-J110-N110-L110-M110)</x:f>
      </x:c>
      <x:c r="P110" s="100" t="str">
        <x:f>IFERROR(O110/I110,"")</x:f>
      </x:c>
      <x:c r="Q110" s="99" t="str">
        <x:f>IF(OR(H110="",I110=""),"",H110*I110)</x:f>
      </x:c>
      <x:c r="R110" s="99" t="str">
        <x:f>IF(OR(H110="",O110=""),"",H110*O110)</x:f>
      </x:c>
      <x:c r="S110" s="99" t="str">
        <x:f>IF(G110="","",$B$2-G110)</x:f>
      </x:c>
      <x:c r="T110" s="99" t="str">
        <x:f>IF(S110="","",IF(S110&gt;=90,"90日以上",IF(S110&gt;=60,"60-89日","59日以下")))</x:f>
      </x:c>
      <x:c r="U110" s="99" t="str">
        <x:f>IF(O110="","",IF(O110&lt;0,"赤字",IF(AND(S110&gt;=90,H110&lt;=2),"要見直し",IF(P110&lt;0.15,"低利益","通常"))))</x:f>
      </x:c>
      <x:c r="V110" s="99" t="str">
        <x:f>IF(U110="","",IF(U110="赤字",100,0)+IF(S110&gt;=90,50,0)+IF(P110&lt;0.15,30,0)+IF(E110&gt;=15,10,0))</x:f>
      </x:c>
      <x:c r="W110" s="101" t="str">
        <x:f>IF(U110="","",IF(U110="赤字","価格・原価・送料を再確認",IF(AND(S110&gt;=90,H110&lt;=2),"値下げ・再出品・仕入停止を検討",IF(P110&lt;0.15,"送料・手数料を見直す","継続観察"))))</x:f>
      </x:c>
    </x:row>
    <x:row r="111">
      <x:c r="A111" s="95"/>
      <x:c r="B111" s="95"/>
      <x:c r="C111" s="95"/>
      <x:c r="D111" s="95"/>
      <x:c r="E111" s="95"/>
      <x:c r="F111" s="96"/>
      <x:c r="G111" s="96"/>
      <x:c r="H111" s="95"/>
      <x:c r="I111" s="97"/>
      <x:c r="J111" s="97"/>
      <x:c r="K111" s="98"/>
      <x:c r="L111" s="97"/>
      <x:c r="M111" s="97"/>
      <x:c r="N111" s="99" t="str">
        <x:f>IF(OR(I111="",K111=""),"",I111*K111)</x:f>
      </x:c>
      <x:c r="O111" s="99" t="str">
        <x:f>IF(OR(I111="",J111="",N111="",L111="",M111=""),"",I111-J111-N111-L111-M111)</x:f>
      </x:c>
      <x:c r="P111" s="100" t="str">
        <x:f>IFERROR(O111/I111,"")</x:f>
      </x:c>
      <x:c r="Q111" s="99" t="str">
        <x:f>IF(OR(H111="",I111=""),"",H111*I111)</x:f>
      </x:c>
      <x:c r="R111" s="99" t="str">
        <x:f>IF(OR(H111="",O111=""),"",H111*O111)</x:f>
      </x:c>
      <x:c r="S111" s="99" t="str">
        <x:f>IF(G111="","",$B$2-G111)</x:f>
      </x:c>
      <x:c r="T111" s="99" t="str">
        <x:f>IF(S111="","",IF(S111&gt;=90,"90日以上",IF(S111&gt;=60,"60-89日","59日以下")))</x:f>
      </x:c>
      <x:c r="U111" s="99" t="str">
        <x:f>IF(O111="","",IF(O111&lt;0,"赤字",IF(AND(S111&gt;=90,H111&lt;=2),"要見直し",IF(P111&lt;0.15,"低利益","通常"))))</x:f>
      </x:c>
      <x:c r="V111" s="99" t="str">
        <x:f>IF(U111="","",IF(U111="赤字",100,0)+IF(S111&gt;=90,50,0)+IF(P111&lt;0.15,30,0)+IF(E111&gt;=15,10,0))</x:f>
      </x:c>
      <x:c r="W111" s="101" t="str">
        <x:f>IF(U111="","",IF(U111="赤字","価格・原価・送料を再確認",IF(AND(S111&gt;=90,H111&lt;=2),"値下げ・再出品・仕入停止を検討",IF(P111&lt;0.15,"送料・手数料を見直す","継続観察"))))</x:f>
      </x:c>
    </x:row>
    <x:row r="112">
      <x:c r="A112" s="95"/>
      <x:c r="B112" s="95"/>
      <x:c r="C112" s="95"/>
      <x:c r="D112" s="95"/>
      <x:c r="E112" s="95"/>
      <x:c r="F112" s="96"/>
      <x:c r="G112" s="96"/>
      <x:c r="H112" s="95"/>
      <x:c r="I112" s="97"/>
      <x:c r="J112" s="97"/>
      <x:c r="K112" s="98"/>
      <x:c r="L112" s="97"/>
      <x:c r="M112" s="97"/>
      <x:c r="N112" s="99" t="str">
        <x:f>IF(OR(I112="",K112=""),"",I112*K112)</x:f>
      </x:c>
      <x:c r="O112" s="99" t="str">
        <x:f>IF(OR(I112="",J112="",N112="",L112="",M112=""),"",I112-J112-N112-L112-M112)</x:f>
      </x:c>
      <x:c r="P112" s="100" t="str">
        <x:f>IFERROR(O112/I112,"")</x:f>
      </x:c>
      <x:c r="Q112" s="99" t="str">
        <x:f>IF(OR(H112="",I112=""),"",H112*I112)</x:f>
      </x:c>
      <x:c r="R112" s="99" t="str">
        <x:f>IF(OR(H112="",O112=""),"",H112*O112)</x:f>
      </x:c>
      <x:c r="S112" s="99" t="str">
        <x:f>IF(G112="","",$B$2-G112)</x:f>
      </x:c>
      <x:c r="T112" s="99" t="str">
        <x:f>IF(S112="","",IF(S112&gt;=90,"90日以上",IF(S112&gt;=60,"60-89日","59日以下")))</x:f>
      </x:c>
      <x:c r="U112" s="99" t="str">
        <x:f>IF(O112="","",IF(O112&lt;0,"赤字",IF(AND(S112&gt;=90,H112&lt;=2),"要見直し",IF(P112&lt;0.15,"低利益","通常"))))</x:f>
      </x:c>
      <x:c r="V112" s="99" t="str">
        <x:f>IF(U112="","",IF(U112="赤字",100,0)+IF(S112&gt;=90,50,0)+IF(P112&lt;0.15,30,0)+IF(E112&gt;=15,10,0))</x:f>
      </x:c>
      <x:c r="W112" s="101" t="str">
        <x:f>IF(U112="","",IF(U112="赤字","価格・原価・送料を再確認",IF(AND(S112&gt;=90,H112&lt;=2),"値下げ・再出品・仕入停止を検討",IF(P112&lt;0.15,"送料・手数料を見直す","継続観察"))))</x:f>
      </x:c>
    </x:row>
    <x:row r="113">
      <x:c r="A113" s="95"/>
      <x:c r="B113" s="95"/>
      <x:c r="C113" s="95"/>
      <x:c r="D113" s="95"/>
      <x:c r="E113" s="95"/>
      <x:c r="F113" s="96"/>
      <x:c r="G113" s="96"/>
      <x:c r="H113" s="95"/>
      <x:c r="I113" s="97"/>
      <x:c r="J113" s="97"/>
      <x:c r="K113" s="98"/>
      <x:c r="L113" s="97"/>
      <x:c r="M113" s="97"/>
      <x:c r="N113" s="99" t="str">
        <x:f>IF(OR(I113="",K113=""),"",I113*K113)</x:f>
      </x:c>
      <x:c r="O113" s="99" t="str">
        <x:f>IF(OR(I113="",J113="",N113="",L113="",M113=""),"",I113-J113-N113-L113-M113)</x:f>
      </x:c>
      <x:c r="P113" s="100" t="str">
        <x:f>IFERROR(O113/I113,"")</x:f>
      </x:c>
      <x:c r="Q113" s="99" t="str">
        <x:f>IF(OR(H113="",I113=""),"",H113*I113)</x:f>
      </x:c>
      <x:c r="R113" s="99" t="str">
        <x:f>IF(OR(H113="",O113=""),"",H113*O113)</x:f>
      </x:c>
      <x:c r="S113" s="99" t="str">
        <x:f>IF(G113="","",$B$2-G113)</x:f>
      </x:c>
      <x:c r="T113" s="99" t="str">
        <x:f>IF(S113="","",IF(S113&gt;=90,"90日以上",IF(S113&gt;=60,"60-89日","59日以下")))</x:f>
      </x:c>
      <x:c r="U113" s="99" t="str">
        <x:f>IF(O113="","",IF(O113&lt;0,"赤字",IF(AND(S113&gt;=90,H113&lt;=2),"要見直し",IF(P113&lt;0.15,"低利益","通常"))))</x:f>
      </x:c>
      <x:c r="V113" s="99" t="str">
        <x:f>IF(U113="","",IF(U113="赤字",100,0)+IF(S113&gt;=90,50,0)+IF(P113&lt;0.15,30,0)+IF(E113&gt;=15,10,0))</x:f>
      </x:c>
      <x:c r="W113" s="101" t="str">
        <x:f>IF(U113="","",IF(U113="赤字","価格・原価・送料を再確認",IF(AND(S113&gt;=90,H113&lt;=2),"値下げ・再出品・仕入停止を検討",IF(P113&lt;0.15,"送料・手数料を見直す","継続観察"))))</x:f>
      </x:c>
    </x:row>
    <x:row r="114">
      <x:c r="A114" s="95"/>
      <x:c r="B114" s="95"/>
      <x:c r="C114" s="95"/>
      <x:c r="D114" s="95"/>
      <x:c r="E114" s="95"/>
      <x:c r="F114" s="96"/>
      <x:c r="G114" s="96"/>
      <x:c r="H114" s="95"/>
      <x:c r="I114" s="97"/>
      <x:c r="J114" s="97"/>
      <x:c r="K114" s="98"/>
      <x:c r="L114" s="97"/>
      <x:c r="M114" s="97"/>
      <x:c r="N114" s="99" t="str">
        <x:f>IF(OR(I114="",K114=""),"",I114*K114)</x:f>
      </x:c>
      <x:c r="O114" s="99" t="str">
        <x:f>IF(OR(I114="",J114="",N114="",L114="",M114=""),"",I114-J114-N114-L114-M114)</x:f>
      </x:c>
      <x:c r="P114" s="100" t="str">
        <x:f>IFERROR(O114/I114,"")</x:f>
      </x:c>
      <x:c r="Q114" s="99" t="str">
        <x:f>IF(OR(H114="",I114=""),"",H114*I114)</x:f>
      </x:c>
      <x:c r="R114" s="99" t="str">
        <x:f>IF(OR(H114="",O114=""),"",H114*O114)</x:f>
      </x:c>
      <x:c r="S114" s="99" t="str">
        <x:f>IF(G114="","",$B$2-G114)</x:f>
      </x:c>
      <x:c r="T114" s="99" t="str">
        <x:f>IF(S114="","",IF(S114&gt;=90,"90日以上",IF(S114&gt;=60,"60-89日","59日以下")))</x:f>
      </x:c>
      <x:c r="U114" s="99" t="str">
        <x:f>IF(O114="","",IF(O114&lt;0,"赤字",IF(AND(S114&gt;=90,H114&lt;=2),"要見直し",IF(P114&lt;0.15,"低利益","通常"))))</x:f>
      </x:c>
      <x:c r="V114" s="99" t="str">
        <x:f>IF(U114="","",IF(U114="赤字",100,0)+IF(S114&gt;=90,50,0)+IF(P114&lt;0.15,30,0)+IF(E114&gt;=15,10,0))</x:f>
      </x:c>
      <x:c r="W114" s="101" t="str">
        <x:f>IF(U114="","",IF(U114="赤字","価格・原価・送料を再確認",IF(AND(S114&gt;=90,H114&lt;=2),"値下げ・再出品・仕入停止を検討",IF(P114&lt;0.15,"送料・手数料を見直す","継続観察"))))</x:f>
      </x:c>
    </x:row>
    <x:row r="115">
      <x:c r="A115" s="95"/>
      <x:c r="B115" s="95"/>
      <x:c r="C115" s="95"/>
      <x:c r="D115" s="95"/>
      <x:c r="E115" s="95"/>
      <x:c r="F115" s="96"/>
      <x:c r="G115" s="96"/>
      <x:c r="H115" s="95"/>
      <x:c r="I115" s="97"/>
      <x:c r="J115" s="97"/>
      <x:c r="K115" s="98"/>
      <x:c r="L115" s="97"/>
      <x:c r="M115" s="97"/>
      <x:c r="N115" s="99" t="str">
        <x:f>IF(OR(I115="",K115=""),"",I115*K115)</x:f>
      </x:c>
      <x:c r="O115" s="99" t="str">
        <x:f>IF(OR(I115="",J115="",N115="",L115="",M115=""),"",I115-J115-N115-L115-M115)</x:f>
      </x:c>
      <x:c r="P115" s="100" t="str">
        <x:f>IFERROR(O115/I115,"")</x:f>
      </x:c>
      <x:c r="Q115" s="99" t="str">
        <x:f>IF(OR(H115="",I115=""),"",H115*I115)</x:f>
      </x:c>
      <x:c r="R115" s="99" t="str">
        <x:f>IF(OR(H115="",O115=""),"",H115*O115)</x:f>
      </x:c>
      <x:c r="S115" s="99" t="str">
        <x:f>IF(G115="","",$B$2-G115)</x:f>
      </x:c>
      <x:c r="T115" s="99" t="str">
        <x:f>IF(S115="","",IF(S115&gt;=90,"90日以上",IF(S115&gt;=60,"60-89日","59日以下")))</x:f>
      </x:c>
      <x:c r="U115" s="99" t="str">
        <x:f>IF(O115="","",IF(O115&lt;0,"赤字",IF(AND(S115&gt;=90,H115&lt;=2),"要見直し",IF(P115&lt;0.15,"低利益","通常"))))</x:f>
      </x:c>
      <x:c r="V115" s="99" t="str">
        <x:f>IF(U115="","",IF(U115="赤字",100,0)+IF(S115&gt;=90,50,0)+IF(P115&lt;0.15,30,0)+IF(E115&gt;=15,10,0))</x:f>
      </x:c>
      <x:c r="W115" s="101" t="str">
        <x:f>IF(U115="","",IF(U115="赤字","価格・原価・送料を再確認",IF(AND(S115&gt;=90,H115&lt;=2),"値下げ・再出品・仕入停止を検討",IF(P115&lt;0.15,"送料・手数料を見直す","継続観察"))))</x:f>
      </x:c>
    </x:row>
    <x:row r="116">
      <x:c r="A116" s="95"/>
      <x:c r="B116" s="95"/>
      <x:c r="C116" s="95"/>
      <x:c r="D116" s="95"/>
      <x:c r="E116" s="95"/>
      <x:c r="F116" s="96"/>
      <x:c r="G116" s="96"/>
      <x:c r="H116" s="95"/>
      <x:c r="I116" s="97"/>
      <x:c r="J116" s="97"/>
      <x:c r="K116" s="98"/>
      <x:c r="L116" s="97"/>
      <x:c r="M116" s="97"/>
      <x:c r="N116" s="99" t="str">
        <x:f>IF(OR(I116="",K116=""),"",I116*K116)</x:f>
      </x:c>
      <x:c r="O116" s="99" t="str">
        <x:f>IF(OR(I116="",J116="",N116="",L116="",M116=""),"",I116-J116-N116-L116-M116)</x:f>
      </x:c>
      <x:c r="P116" s="100" t="str">
        <x:f>IFERROR(O116/I116,"")</x:f>
      </x:c>
      <x:c r="Q116" s="99" t="str">
        <x:f>IF(OR(H116="",I116=""),"",H116*I116)</x:f>
      </x:c>
      <x:c r="R116" s="99" t="str">
        <x:f>IF(OR(H116="",O116=""),"",H116*O116)</x:f>
      </x:c>
      <x:c r="S116" s="99" t="str">
        <x:f>IF(G116="","",$B$2-G116)</x:f>
      </x:c>
      <x:c r="T116" s="99" t="str">
        <x:f>IF(S116="","",IF(S116&gt;=90,"90日以上",IF(S116&gt;=60,"60-89日","59日以下")))</x:f>
      </x:c>
      <x:c r="U116" s="99" t="str">
        <x:f>IF(O116="","",IF(O116&lt;0,"赤字",IF(AND(S116&gt;=90,H116&lt;=2),"要見直し",IF(P116&lt;0.15,"低利益","通常"))))</x:f>
      </x:c>
      <x:c r="V116" s="99" t="str">
        <x:f>IF(U116="","",IF(U116="赤字",100,0)+IF(S116&gt;=90,50,0)+IF(P116&lt;0.15,30,0)+IF(E116&gt;=15,10,0))</x:f>
      </x:c>
      <x:c r="W116" s="101" t="str">
        <x:f>IF(U116="","",IF(U116="赤字","価格・原価・送料を再確認",IF(AND(S116&gt;=90,H116&lt;=2),"値下げ・再出品・仕入停止を検討",IF(P116&lt;0.15,"送料・手数料を見直す","継続観察"))))</x:f>
      </x:c>
    </x:row>
    <x:row r="117">
      <x:c r="A117" s="95"/>
      <x:c r="B117" s="95"/>
      <x:c r="C117" s="95"/>
      <x:c r="D117" s="95"/>
      <x:c r="E117" s="95"/>
      <x:c r="F117" s="96"/>
      <x:c r="G117" s="96"/>
      <x:c r="H117" s="95"/>
      <x:c r="I117" s="97"/>
      <x:c r="J117" s="97"/>
      <x:c r="K117" s="98"/>
      <x:c r="L117" s="97"/>
      <x:c r="M117" s="97"/>
      <x:c r="N117" s="99" t="str">
        <x:f>IF(OR(I117="",K117=""),"",I117*K117)</x:f>
      </x:c>
      <x:c r="O117" s="99" t="str">
        <x:f>IF(OR(I117="",J117="",N117="",L117="",M117=""),"",I117-J117-N117-L117-M117)</x:f>
      </x:c>
      <x:c r="P117" s="100" t="str">
        <x:f>IFERROR(O117/I117,"")</x:f>
      </x:c>
      <x:c r="Q117" s="99" t="str">
        <x:f>IF(OR(H117="",I117=""),"",H117*I117)</x:f>
      </x:c>
      <x:c r="R117" s="99" t="str">
        <x:f>IF(OR(H117="",O117=""),"",H117*O117)</x:f>
      </x:c>
      <x:c r="S117" s="99" t="str">
        <x:f>IF(G117="","",$B$2-G117)</x:f>
      </x:c>
      <x:c r="T117" s="99" t="str">
        <x:f>IF(S117="","",IF(S117&gt;=90,"90日以上",IF(S117&gt;=60,"60-89日","59日以下")))</x:f>
      </x:c>
      <x:c r="U117" s="99" t="str">
        <x:f>IF(O117="","",IF(O117&lt;0,"赤字",IF(AND(S117&gt;=90,H117&lt;=2),"要見直し",IF(P117&lt;0.15,"低利益","通常"))))</x:f>
      </x:c>
      <x:c r="V117" s="99" t="str">
        <x:f>IF(U117="","",IF(U117="赤字",100,0)+IF(S117&gt;=90,50,0)+IF(P117&lt;0.15,30,0)+IF(E117&gt;=15,10,0))</x:f>
      </x:c>
      <x:c r="W117" s="101" t="str">
        <x:f>IF(U117="","",IF(U117="赤字","価格・原価・送料を再確認",IF(AND(S117&gt;=90,H117&lt;=2),"値下げ・再出品・仕入停止を検討",IF(P117&lt;0.15,"送料・手数料を見直す","継続観察"))))</x:f>
      </x:c>
    </x:row>
    <x:row r="118">
      <x:c r="A118" s="95"/>
      <x:c r="B118" s="95"/>
      <x:c r="C118" s="95"/>
      <x:c r="D118" s="95"/>
      <x:c r="E118" s="95"/>
      <x:c r="F118" s="96"/>
      <x:c r="G118" s="96"/>
      <x:c r="H118" s="95"/>
      <x:c r="I118" s="97"/>
      <x:c r="J118" s="97"/>
      <x:c r="K118" s="98"/>
      <x:c r="L118" s="97"/>
      <x:c r="M118" s="97"/>
      <x:c r="N118" s="99" t="str">
        <x:f>IF(OR(I118="",K118=""),"",I118*K118)</x:f>
      </x:c>
      <x:c r="O118" s="99" t="str">
        <x:f>IF(OR(I118="",J118="",N118="",L118="",M118=""),"",I118-J118-N118-L118-M118)</x:f>
      </x:c>
      <x:c r="P118" s="100" t="str">
        <x:f>IFERROR(O118/I118,"")</x:f>
      </x:c>
      <x:c r="Q118" s="99" t="str">
        <x:f>IF(OR(H118="",I118=""),"",H118*I118)</x:f>
      </x:c>
      <x:c r="R118" s="99" t="str">
        <x:f>IF(OR(H118="",O118=""),"",H118*O118)</x:f>
      </x:c>
      <x:c r="S118" s="99" t="str">
        <x:f>IF(G118="","",$B$2-G118)</x:f>
      </x:c>
      <x:c r="T118" s="99" t="str">
        <x:f>IF(S118="","",IF(S118&gt;=90,"90日以上",IF(S118&gt;=60,"60-89日","59日以下")))</x:f>
      </x:c>
      <x:c r="U118" s="99" t="str">
        <x:f>IF(O118="","",IF(O118&lt;0,"赤字",IF(AND(S118&gt;=90,H118&lt;=2),"要見直し",IF(P118&lt;0.15,"低利益","通常"))))</x:f>
      </x:c>
      <x:c r="V118" s="99" t="str">
        <x:f>IF(U118="","",IF(U118="赤字",100,0)+IF(S118&gt;=90,50,0)+IF(P118&lt;0.15,30,0)+IF(E118&gt;=15,10,0))</x:f>
      </x:c>
      <x:c r="W118" s="101" t="str">
        <x:f>IF(U118="","",IF(U118="赤字","価格・原価・送料を再確認",IF(AND(S118&gt;=90,H118&lt;=2),"値下げ・再出品・仕入停止を検討",IF(P118&lt;0.15,"送料・手数料を見直す","継続観察"))))</x:f>
      </x:c>
    </x:row>
    <x:row r="119">
      <x:c r="A119" s="95"/>
      <x:c r="B119" s="95"/>
      <x:c r="C119" s="95"/>
      <x:c r="D119" s="95"/>
      <x:c r="E119" s="95"/>
      <x:c r="F119" s="96"/>
      <x:c r="G119" s="96"/>
      <x:c r="H119" s="95"/>
      <x:c r="I119" s="97"/>
      <x:c r="J119" s="97"/>
      <x:c r="K119" s="98"/>
      <x:c r="L119" s="97"/>
      <x:c r="M119" s="97"/>
      <x:c r="N119" s="99" t="str">
        <x:f>IF(OR(I119="",K119=""),"",I119*K119)</x:f>
      </x:c>
      <x:c r="O119" s="99" t="str">
        <x:f>IF(OR(I119="",J119="",N119="",L119="",M119=""),"",I119-J119-N119-L119-M119)</x:f>
      </x:c>
      <x:c r="P119" s="100" t="str">
        <x:f>IFERROR(O119/I119,"")</x:f>
      </x:c>
      <x:c r="Q119" s="99" t="str">
        <x:f>IF(OR(H119="",I119=""),"",H119*I119)</x:f>
      </x:c>
      <x:c r="R119" s="99" t="str">
        <x:f>IF(OR(H119="",O119=""),"",H119*O119)</x:f>
      </x:c>
      <x:c r="S119" s="99" t="str">
        <x:f>IF(G119="","",$B$2-G119)</x:f>
      </x:c>
      <x:c r="T119" s="99" t="str">
        <x:f>IF(S119="","",IF(S119&gt;=90,"90日以上",IF(S119&gt;=60,"60-89日","59日以下")))</x:f>
      </x:c>
      <x:c r="U119" s="99" t="str">
        <x:f>IF(O119="","",IF(O119&lt;0,"赤字",IF(AND(S119&gt;=90,H119&lt;=2),"要見直し",IF(P119&lt;0.15,"低利益","通常"))))</x:f>
      </x:c>
      <x:c r="V119" s="99" t="str">
        <x:f>IF(U119="","",IF(U119="赤字",100,0)+IF(S119&gt;=90,50,0)+IF(P119&lt;0.15,30,0)+IF(E119&gt;=15,10,0))</x:f>
      </x:c>
      <x:c r="W119" s="101" t="str">
        <x:f>IF(U119="","",IF(U119="赤字","価格・原価・送料を再確認",IF(AND(S119&gt;=90,H119&lt;=2),"値下げ・再出品・仕入停止を検討",IF(P119&lt;0.15,"送料・手数料を見直す","継続観察"))))</x:f>
      </x:c>
    </x:row>
    <x:row r="120">
      <x:c r="A120" s="95"/>
      <x:c r="B120" s="95"/>
      <x:c r="C120" s="95"/>
      <x:c r="D120" s="95"/>
      <x:c r="E120" s="95"/>
      <x:c r="F120" s="96"/>
      <x:c r="G120" s="96"/>
      <x:c r="H120" s="95"/>
      <x:c r="I120" s="97"/>
      <x:c r="J120" s="97"/>
      <x:c r="K120" s="98"/>
      <x:c r="L120" s="97"/>
      <x:c r="M120" s="97"/>
      <x:c r="N120" s="99" t="str">
        <x:f>IF(OR(I120="",K120=""),"",I120*K120)</x:f>
      </x:c>
      <x:c r="O120" s="99" t="str">
        <x:f>IF(OR(I120="",J120="",N120="",L120="",M120=""),"",I120-J120-N120-L120-M120)</x:f>
      </x:c>
      <x:c r="P120" s="100" t="str">
        <x:f>IFERROR(O120/I120,"")</x:f>
      </x:c>
      <x:c r="Q120" s="99" t="str">
        <x:f>IF(OR(H120="",I120=""),"",H120*I120)</x:f>
      </x:c>
      <x:c r="R120" s="99" t="str">
        <x:f>IF(OR(H120="",O120=""),"",H120*O120)</x:f>
      </x:c>
      <x:c r="S120" s="99" t="str">
        <x:f>IF(G120="","",$B$2-G120)</x:f>
      </x:c>
      <x:c r="T120" s="99" t="str">
        <x:f>IF(S120="","",IF(S120&gt;=90,"90日以上",IF(S120&gt;=60,"60-89日","59日以下")))</x:f>
      </x:c>
      <x:c r="U120" s="99" t="str">
        <x:f>IF(O120="","",IF(O120&lt;0,"赤字",IF(AND(S120&gt;=90,H120&lt;=2),"要見直し",IF(P120&lt;0.15,"低利益","通常"))))</x:f>
      </x:c>
      <x:c r="V120" s="99" t="str">
        <x:f>IF(U120="","",IF(U120="赤字",100,0)+IF(S120&gt;=90,50,0)+IF(P120&lt;0.15,30,0)+IF(E120&gt;=15,10,0))</x:f>
      </x:c>
      <x:c r="W120" s="101" t="str">
        <x:f>IF(U120="","",IF(U120="赤字","価格・原価・送料を再確認",IF(AND(S120&gt;=90,H120&lt;=2),"値下げ・再出品・仕入停止を検討",IF(P120&lt;0.15,"送料・手数料を見直す","継続観察"))))</x:f>
      </x:c>
    </x:row>
    <x:row r="121">
      <x:c r="A121" s="95"/>
      <x:c r="B121" s="95"/>
      <x:c r="C121" s="95"/>
      <x:c r="D121" s="95"/>
      <x:c r="E121" s="95"/>
      <x:c r="F121" s="96"/>
      <x:c r="G121" s="96"/>
      <x:c r="H121" s="95"/>
      <x:c r="I121" s="97"/>
      <x:c r="J121" s="97"/>
      <x:c r="K121" s="98"/>
      <x:c r="L121" s="97"/>
      <x:c r="M121" s="97"/>
      <x:c r="N121" s="99" t="str">
        <x:f>IF(OR(I121="",K121=""),"",I121*K121)</x:f>
      </x:c>
      <x:c r="O121" s="99" t="str">
        <x:f>IF(OR(I121="",J121="",N121="",L121="",M121=""),"",I121-J121-N121-L121-M121)</x:f>
      </x:c>
      <x:c r="P121" s="100" t="str">
        <x:f>IFERROR(O121/I121,"")</x:f>
      </x:c>
      <x:c r="Q121" s="99" t="str">
        <x:f>IF(OR(H121="",I121=""),"",H121*I121)</x:f>
      </x:c>
      <x:c r="R121" s="99" t="str">
        <x:f>IF(OR(H121="",O121=""),"",H121*O121)</x:f>
      </x:c>
      <x:c r="S121" s="99" t="str">
        <x:f>IF(G121="","",$B$2-G121)</x:f>
      </x:c>
      <x:c r="T121" s="99" t="str">
        <x:f>IF(S121="","",IF(S121&gt;=90,"90日以上",IF(S121&gt;=60,"60-89日","59日以下")))</x:f>
      </x:c>
      <x:c r="U121" s="99" t="str">
        <x:f>IF(O121="","",IF(O121&lt;0,"赤字",IF(AND(S121&gt;=90,H121&lt;=2),"要見直し",IF(P121&lt;0.15,"低利益","通常"))))</x:f>
      </x:c>
      <x:c r="V121" s="99" t="str">
        <x:f>IF(U121="","",IF(U121="赤字",100,0)+IF(S121&gt;=90,50,0)+IF(P121&lt;0.15,30,0)+IF(E121&gt;=15,10,0))</x:f>
      </x:c>
      <x:c r="W121" s="101" t="str">
        <x:f>IF(U121="","",IF(U121="赤字","価格・原価・送料を再確認",IF(AND(S121&gt;=90,H121&lt;=2),"値下げ・再出品・仕入停止を検討",IF(P121&lt;0.15,"送料・手数料を見直す","継続観察"))))</x:f>
      </x:c>
    </x:row>
    <x:row r="122">
      <x:c r="A122" s="95"/>
      <x:c r="B122" s="95"/>
      <x:c r="C122" s="95"/>
      <x:c r="D122" s="95"/>
      <x:c r="E122" s="95"/>
      <x:c r="F122" s="96"/>
      <x:c r="G122" s="96"/>
      <x:c r="H122" s="95"/>
      <x:c r="I122" s="97"/>
      <x:c r="J122" s="97"/>
      <x:c r="K122" s="98"/>
      <x:c r="L122" s="97"/>
      <x:c r="M122" s="97"/>
      <x:c r="N122" s="99" t="str">
        <x:f>IF(OR(I122="",K122=""),"",I122*K122)</x:f>
      </x:c>
      <x:c r="O122" s="99" t="str">
        <x:f>IF(OR(I122="",J122="",N122="",L122="",M122=""),"",I122-J122-N122-L122-M122)</x:f>
      </x:c>
      <x:c r="P122" s="100" t="str">
        <x:f>IFERROR(O122/I122,"")</x:f>
      </x:c>
      <x:c r="Q122" s="99" t="str">
        <x:f>IF(OR(H122="",I122=""),"",H122*I122)</x:f>
      </x:c>
      <x:c r="R122" s="99" t="str">
        <x:f>IF(OR(H122="",O122=""),"",H122*O122)</x:f>
      </x:c>
      <x:c r="S122" s="99" t="str">
        <x:f>IF(G122="","",$B$2-G122)</x:f>
      </x:c>
      <x:c r="T122" s="99" t="str">
        <x:f>IF(S122="","",IF(S122&gt;=90,"90日以上",IF(S122&gt;=60,"60-89日","59日以下")))</x:f>
      </x:c>
      <x:c r="U122" s="99" t="str">
        <x:f>IF(O122="","",IF(O122&lt;0,"赤字",IF(AND(S122&gt;=90,H122&lt;=2),"要見直し",IF(P122&lt;0.15,"低利益","通常"))))</x:f>
      </x:c>
      <x:c r="V122" s="99" t="str">
        <x:f>IF(U122="","",IF(U122="赤字",100,0)+IF(S122&gt;=90,50,0)+IF(P122&lt;0.15,30,0)+IF(E122&gt;=15,10,0))</x:f>
      </x:c>
      <x:c r="W122" s="101" t="str">
        <x:f>IF(U122="","",IF(U122="赤字","価格・原価・送料を再確認",IF(AND(S122&gt;=90,H122&lt;=2),"値下げ・再出品・仕入停止を検討",IF(P122&lt;0.15,"送料・手数料を見直す","継続観察"))))</x:f>
      </x:c>
    </x:row>
    <x:row r="123">
      <x:c r="A123" s="95"/>
      <x:c r="B123" s="95"/>
      <x:c r="C123" s="95"/>
      <x:c r="D123" s="95"/>
      <x:c r="E123" s="95"/>
      <x:c r="F123" s="96"/>
      <x:c r="G123" s="96"/>
      <x:c r="H123" s="95"/>
      <x:c r="I123" s="97"/>
      <x:c r="J123" s="97"/>
      <x:c r="K123" s="98"/>
      <x:c r="L123" s="97"/>
      <x:c r="M123" s="97"/>
      <x:c r="N123" s="99" t="str">
        <x:f>IF(OR(I123="",K123=""),"",I123*K123)</x:f>
      </x:c>
      <x:c r="O123" s="99" t="str">
        <x:f>IF(OR(I123="",J123="",N123="",L123="",M123=""),"",I123-J123-N123-L123-M123)</x:f>
      </x:c>
      <x:c r="P123" s="100" t="str">
        <x:f>IFERROR(O123/I123,"")</x:f>
      </x:c>
      <x:c r="Q123" s="99" t="str">
        <x:f>IF(OR(H123="",I123=""),"",H123*I123)</x:f>
      </x:c>
      <x:c r="R123" s="99" t="str">
        <x:f>IF(OR(H123="",O123=""),"",H123*O123)</x:f>
      </x:c>
      <x:c r="S123" s="99" t="str">
        <x:f>IF(G123="","",$B$2-G123)</x:f>
      </x:c>
      <x:c r="T123" s="99" t="str">
        <x:f>IF(S123="","",IF(S123&gt;=90,"90日以上",IF(S123&gt;=60,"60-89日","59日以下")))</x:f>
      </x:c>
      <x:c r="U123" s="99" t="str">
        <x:f>IF(O123="","",IF(O123&lt;0,"赤字",IF(AND(S123&gt;=90,H123&lt;=2),"要見直し",IF(P123&lt;0.15,"低利益","通常"))))</x:f>
      </x:c>
      <x:c r="V123" s="99" t="str">
        <x:f>IF(U123="","",IF(U123="赤字",100,0)+IF(S123&gt;=90,50,0)+IF(P123&lt;0.15,30,0)+IF(E123&gt;=15,10,0))</x:f>
      </x:c>
      <x:c r="W123" s="101" t="str">
        <x:f>IF(U123="","",IF(U123="赤字","価格・原価・送料を再確認",IF(AND(S123&gt;=90,H123&lt;=2),"値下げ・再出品・仕入停止を検討",IF(P123&lt;0.15,"送料・手数料を見直す","継続観察"))))</x:f>
      </x:c>
    </x:row>
    <x:row r="124">
      <x:c r="A124" s="95"/>
      <x:c r="B124" s="95"/>
      <x:c r="C124" s="95"/>
      <x:c r="D124" s="95"/>
      <x:c r="E124" s="95"/>
      <x:c r="F124" s="96"/>
      <x:c r="G124" s="96"/>
      <x:c r="H124" s="95"/>
      <x:c r="I124" s="97"/>
      <x:c r="J124" s="97"/>
      <x:c r="K124" s="98"/>
      <x:c r="L124" s="97"/>
      <x:c r="M124" s="97"/>
      <x:c r="N124" s="99" t="str">
        <x:f>IF(OR(I124="",K124=""),"",I124*K124)</x:f>
      </x:c>
      <x:c r="O124" s="99" t="str">
        <x:f>IF(OR(I124="",J124="",N124="",L124="",M124=""),"",I124-J124-N124-L124-M124)</x:f>
      </x:c>
      <x:c r="P124" s="100" t="str">
        <x:f>IFERROR(O124/I124,"")</x:f>
      </x:c>
      <x:c r="Q124" s="99" t="str">
        <x:f>IF(OR(H124="",I124=""),"",H124*I124)</x:f>
      </x:c>
      <x:c r="R124" s="99" t="str">
        <x:f>IF(OR(H124="",O124=""),"",H124*O124)</x:f>
      </x:c>
      <x:c r="S124" s="99" t="str">
        <x:f>IF(G124="","",$B$2-G124)</x:f>
      </x:c>
      <x:c r="T124" s="99" t="str">
        <x:f>IF(S124="","",IF(S124&gt;=90,"90日以上",IF(S124&gt;=60,"60-89日","59日以下")))</x:f>
      </x:c>
      <x:c r="U124" s="99" t="str">
        <x:f>IF(O124="","",IF(O124&lt;0,"赤字",IF(AND(S124&gt;=90,H124&lt;=2),"要見直し",IF(P124&lt;0.15,"低利益","通常"))))</x:f>
      </x:c>
      <x:c r="V124" s="99" t="str">
        <x:f>IF(U124="","",IF(U124="赤字",100,0)+IF(S124&gt;=90,50,0)+IF(P124&lt;0.15,30,0)+IF(E124&gt;=15,10,0))</x:f>
      </x:c>
      <x:c r="W124" s="101" t="str">
        <x:f>IF(U124="","",IF(U124="赤字","価格・原価・送料を再確認",IF(AND(S124&gt;=90,H124&lt;=2),"値下げ・再出品・仕入停止を検討",IF(P124&lt;0.15,"送料・手数料を見直す","継続観察"))))</x:f>
      </x:c>
    </x:row>
    <x:row r="125">
      <x:c r="A125" s="95"/>
      <x:c r="B125" s="95"/>
      <x:c r="C125" s="95"/>
      <x:c r="D125" s="95"/>
      <x:c r="E125" s="95"/>
      <x:c r="F125" s="96"/>
      <x:c r="G125" s="96"/>
      <x:c r="H125" s="95"/>
      <x:c r="I125" s="97"/>
      <x:c r="J125" s="97"/>
      <x:c r="K125" s="98"/>
      <x:c r="L125" s="97"/>
      <x:c r="M125" s="97"/>
      <x:c r="N125" s="99" t="str">
        <x:f>IF(OR(I125="",K125=""),"",I125*K125)</x:f>
      </x:c>
      <x:c r="O125" s="99" t="str">
        <x:f>IF(OR(I125="",J125="",N125="",L125="",M125=""),"",I125-J125-N125-L125-M125)</x:f>
      </x:c>
      <x:c r="P125" s="100" t="str">
        <x:f>IFERROR(O125/I125,"")</x:f>
      </x:c>
      <x:c r="Q125" s="99" t="str">
        <x:f>IF(OR(H125="",I125=""),"",H125*I125)</x:f>
      </x:c>
      <x:c r="R125" s="99" t="str">
        <x:f>IF(OR(H125="",O125=""),"",H125*O125)</x:f>
      </x:c>
      <x:c r="S125" s="99" t="str">
        <x:f>IF(G125="","",$B$2-G125)</x:f>
      </x:c>
      <x:c r="T125" s="99" t="str">
        <x:f>IF(S125="","",IF(S125&gt;=90,"90日以上",IF(S125&gt;=60,"60-89日","59日以下")))</x:f>
      </x:c>
      <x:c r="U125" s="99" t="str">
        <x:f>IF(O125="","",IF(O125&lt;0,"赤字",IF(AND(S125&gt;=90,H125&lt;=2),"要見直し",IF(P125&lt;0.15,"低利益","通常"))))</x:f>
      </x:c>
      <x:c r="V125" s="99" t="str">
        <x:f>IF(U125="","",IF(U125="赤字",100,0)+IF(S125&gt;=90,50,0)+IF(P125&lt;0.15,30,0)+IF(E125&gt;=15,10,0))</x:f>
      </x:c>
      <x:c r="W125" s="101" t="str">
        <x:f>IF(U125="","",IF(U125="赤字","価格・原価・送料を再確認",IF(AND(S125&gt;=90,H125&lt;=2),"値下げ・再出品・仕入停止を検討",IF(P125&lt;0.15,"送料・手数料を見直す","継続観察"))))</x:f>
      </x:c>
    </x:row>
    <x:row r="126">
      <x:c r="A126" s="95"/>
      <x:c r="B126" s="95"/>
      <x:c r="C126" s="95"/>
      <x:c r="D126" s="95"/>
      <x:c r="E126" s="95"/>
      <x:c r="F126" s="96"/>
      <x:c r="G126" s="96"/>
      <x:c r="H126" s="95"/>
      <x:c r="I126" s="97"/>
      <x:c r="J126" s="97"/>
      <x:c r="K126" s="98"/>
      <x:c r="L126" s="97"/>
      <x:c r="M126" s="97"/>
      <x:c r="N126" s="99" t="str">
        <x:f>IF(OR(I126="",K126=""),"",I126*K126)</x:f>
      </x:c>
      <x:c r="O126" s="99" t="str">
        <x:f>IF(OR(I126="",J126="",N126="",L126="",M126=""),"",I126-J126-N126-L126-M126)</x:f>
      </x:c>
      <x:c r="P126" s="100" t="str">
        <x:f>IFERROR(O126/I126,"")</x:f>
      </x:c>
      <x:c r="Q126" s="99" t="str">
        <x:f>IF(OR(H126="",I126=""),"",H126*I126)</x:f>
      </x:c>
      <x:c r="R126" s="99" t="str">
        <x:f>IF(OR(H126="",O126=""),"",H126*O126)</x:f>
      </x:c>
      <x:c r="S126" s="99" t="str">
        <x:f>IF(G126="","",$B$2-G126)</x:f>
      </x:c>
      <x:c r="T126" s="99" t="str">
        <x:f>IF(S126="","",IF(S126&gt;=90,"90日以上",IF(S126&gt;=60,"60-89日","59日以下")))</x:f>
      </x:c>
      <x:c r="U126" s="99" t="str">
        <x:f>IF(O126="","",IF(O126&lt;0,"赤字",IF(AND(S126&gt;=90,H126&lt;=2),"要見直し",IF(P126&lt;0.15,"低利益","通常"))))</x:f>
      </x:c>
      <x:c r="V126" s="99" t="str">
        <x:f>IF(U126="","",IF(U126="赤字",100,0)+IF(S126&gt;=90,50,0)+IF(P126&lt;0.15,30,0)+IF(E126&gt;=15,10,0))</x:f>
      </x:c>
      <x:c r="W126" s="101" t="str">
        <x:f>IF(U126="","",IF(U126="赤字","価格・原価・送料を再確認",IF(AND(S126&gt;=90,H126&lt;=2),"値下げ・再出品・仕入停止を検討",IF(P126&lt;0.15,"送料・手数料を見直す","継続観察"))))</x:f>
      </x:c>
    </x:row>
    <x:row r="127">
      <x:c r="A127" s="95"/>
      <x:c r="B127" s="95"/>
      <x:c r="C127" s="95"/>
      <x:c r="D127" s="95"/>
      <x:c r="E127" s="95"/>
      <x:c r="F127" s="96"/>
      <x:c r="G127" s="96"/>
      <x:c r="H127" s="95"/>
      <x:c r="I127" s="97"/>
      <x:c r="J127" s="97"/>
      <x:c r="K127" s="98"/>
      <x:c r="L127" s="97"/>
      <x:c r="M127" s="97"/>
      <x:c r="N127" s="99" t="str">
        <x:f>IF(OR(I127="",K127=""),"",I127*K127)</x:f>
      </x:c>
      <x:c r="O127" s="99" t="str">
        <x:f>IF(OR(I127="",J127="",N127="",L127="",M127=""),"",I127-J127-N127-L127-M127)</x:f>
      </x:c>
      <x:c r="P127" s="100" t="str">
        <x:f>IFERROR(O127/I127,"")</x:f>
      </x:c>
      <x:c r="Q127" s="99" t="str">
        <x:f>IF(OR(H127="",I127=""),"",H127*I127)</x:f>
      </x:c>
      <x:c r="R127" s="99" t="str">
        <x:f>IF(OR(H127="",O127=""),"",H127*O127)</x:f>
      </x:c>
      <x:c r="S127" s="99" t="str">
        <x:f>IF(G127="","",$B$2-G127)</x:f>
      </x:c>
      <x:c r="T127" s="99" t="str">
        <x:f>IF(S127="","",IF(S127&gt;=90,"90日以上",IF(S127&gt;=60,"60-89日","59日以下")))</x:f>
      </x:c>
      <x:c r="U127" s="99" t="str">
        <x:f>IF(O127="","",IF(O127&lt;0,"赤字",IF(AND(S127&gt;=90,H127&lt;=2),"要見直し",IF(P127&lt;0.15,"低利益","通常"))))</x:f>
      </x:c>
      <x:c r="V127" s="99" t="str">
        <x:f>IF(U127="","",IF(U127="赤字",100,0)+IF(S127&gt;=90,50,0)+IF(P127&lt;0.15,30,0)+IF(E127&gt;=15,10,0))</x:f>
      </x:c>
      <x:c r="W127" s="101" t="str">
        <x:f>IF(U127="","",IF(U127="赤字","価格・原価・送料を再確認",IF(AND(S127&gt;=90,H127&lt;=2),"値下げ・再出品・仕入停止を検討",IF(P127&lt;0.15,"送料・手数料を見直す","継続観察"))))</x:f>
      </x:c>
    </x:row>
    <x:row r="128">
      <x:c r="A128" s="95"/>
      <x:c r="B128" s="95"/>
      <x:c r="C128" s="95"/>
      <x:c r="D128" s="95"/>
      <x:c r="E128" s="95"/>
      <x:c r="F128" s="96"/>
      <x:c r="G128" s="96"/>
      <x:c r="H128" s="95"/>
      <x:c r="I128" s="97"/>
      <x:c r="J128" s="97"/>
      <x:c r="K128" s="98"/>
      <x:c r="L128" s="97"/>
      <x:c r="M128" s="97"/>
      <x:c r="N128" s="99" t="str">
        <x:f>IF(OR(I128="",K128=""),"",I128*K128)</x:f>
      </x:c>
      <x:c r="O128" s="99" t="str">
        <x:f>IF(OR(I128="",J128="",N128="",L128="",M128=""),"",I128-J128-N128-L128-M128)</x:f>
      </x:c>
      <x:c r="P128" s="100" t="str">
        <x:f>IFERROR(O128/I128,"")</x:f>
      </x:c>
      <x:c r="Q128" s="99" t="str">
        <x:f>IF(OR(H128="",I128=""),"",H128*I128)</x:f>
      </x:c>
      <x:c r="R128" s="99" t="str">
        <x:f>IF(OR(H128="",O128=""),"",H128*O128)</x:f>
      </x:c>
      <x:c r="S128" s="99" t="str">
        <x:f>IF(G128="","",$B$2-G128)</x:f>
      </x:c>
      <x:c r="T128" s="99" t="str">
        <x:f>IF(S128="","",IF(S128&gt;=90,"90日以上",IF(S128&gt;=60,"60-89日","59日以下")))</x:f>
      </x:c>
      <x:c r="U128" s="99" t="str">
        <x:f>IF(O128="","",IF(O128&lt;0,"赤字",IF(AND(S128&gt;=90,H128&lt;=2),"要見直し",IF(P128&lt;0.15,"低利益","通常"))))</x:f>
      </x:c>
      <x:c r="V128" s="99" t="str">
        <x:f>IF(U128="","",IF(U128="赤字",100,0)+IF(S128&gt;=90,50,0)+IF(P128&lt;0.15,30,0)+IF(E128&gt;=15,10,0))</x:f>
      </x:c>
      <x:c r="W128" s="101" t="str">
        <x:f>IF(U128="","",IF(U128="赤字","価格・原価・送料を再確認",IF(AND(S128&gt;=90,H128&lt;=2),"値下げ・再出品・仕入停止を検討",IF(P128&lt;0.15,"送料・手数料を見直す","継続観察"))))</x:f>
      </x:c>
    </x:row>
    <x:row r="129">
      <x:c r="A129" s="95"/>
      <x:c r="B129" s="95"/>
      <x:c r="C129" s="95"/>
      <x:c r="D129" s="95"/>
      <x:c r="E129" s="95"/>
      <x:c r="F129" s="96"/>
      <x:c r="G129" s="96"/>
      <x:c r="H129" s="95"/>
      <x:c r="I129" s="97"/>
      <x:c r="J129" s="97"/>
      <x:c r="K129" s="98"/>
      <x:c r="L129" s="97"/>
      <x:c r="M129" s="97"/>
      <x:c r="N129" s="99" t="str">
        <x:f>IF(OR(I129="",K129=""),"",I129*K129)</x:f>
      </x:c>
      <x:c r="O129" s="99" t="str">
        <x:f>IF(OR(I129="",J129="",N129="",L129="",M129=""),"",I129-J129-N129-L129-M129)</x:f>
      </x:c>
      <x:c r="P129" s="100" t="str">
        <x:f>IFERROR(O129/I129,"")</x:f>
      </x:c>
      <x:c r="Q129" s="99" t="str">
        <x:f>IF(OR(H129="",I129=""),"",H129*I129)</x:f>
      </x:c>
      <x:c r="R129" s="99" t="str">
        <x:f>IF(OR(H129="",O129=""),"",H129*O129)</x:f>
      </x:c>
      <x:c r="S129" s="99" t="str">
        <x:f>IF(G129="","",$B$2-G129)</x:f>
      </x:c>
      <x:c r="T129" s="99" t="str">
        <x:f>IF(S129="","",IF(S129&gt;=90,"90日以上",IF(S129&gt;=60,"60-89日","59日以下")))</x:f>
      </x:c>
      <x:c r="U129" s="99" t="str">
        <x:f>IF(O129="","",IF(O129&lt;0,"赤字",IF(AND(S129&gt;=90,H129&lt;=2),"要見直し",IF(P129&lt;0.15,"低利益","通常"))))</x:f>
      </x:c>
      <x:c r="V129" s="99" t="str">
        <x:f>IF(U129="","",IF(U129="赤字",100,0)+IF(S129&gt;=90,50,0)+IF(P129&lt;0.15,30,0)+IF(E129&gt;=15,10,0))</x:f>
      </x:c>
      <x:c r="W129" s="101" t="str">
        <x:f>IF(U129="","",IF(U129="赤字","価格・原価・送料を再確認",IF(AND(S129&gt;=90,H129&lt;=2),"値下げ・再出品・仕入停止を検討",IF(P129&lt;0.15,"送料・手数料を見直す","継続観察"))))</x:f>
      </x:c>
    </x:row>
    <x:row r="130">
      <x:c r="A130" s="95"/>
      <x:c r="B130" s="95"/>
      <x:c r="C130" s="95"/>
      <x:c r="D130" s="95"/>
      <x:c r="E130" s="95"/>
      <x:c r="F130" s="96"/>
      <x:c r="G130" s="96"/>
      <x:c r="H130" s="95"/>
      <x:c r="I130" s="97"/>
      <x:c r="J130" s="97"/>
      <x:c r="K130" s="98"/>
      <x:c r="L130" s="97"/>
      <x:c r="M130" s="97"/>
      <x:c r="N130" s="99" t="str">
        <x:f>IF(OR(I130="",K130=""),"",I130*K130)</x:f>
      </x:c>
      <x:c r="O130" s="99" t="str">
        <x:f>IF(OR(I130="",J130="",N130="",L130="",M130=""),"",I130-J130-N130-L130-M130)</x:f>
      </x:c>
      <x:c r="P130" s="100" t="str">
        <x:f>IFERROR(O130/I130,"")</x:f>
      </x:c>
      <x:c r="Q130" s="99" t="str">
        <x:f>IF(OR(H130="",I130=""),"",H130*I130)</x:f>
      </x:c>
      <x:c r="R130" s="99" t="str">
        <x:f>IF(OR(H130="",O130=""),"",H130*O130)</x:f>
      </x:c>
      <x:c r="S130" s="99" t="str">
        <x:f>IF(G130="","",$B$2-G130)</x:f>
      </x:c>
      <x:c r="T130" s="99" t="str">
        <x:f>IF(S130="","",IF(S130&gt;=90,"90日以上",IF(S130&gt;=60,"60-89日","59日以下")))</x:f>
      </x:c>
      <x:c r="U130" s="99" t="str">
        <x:f>IF(O130="","",IF(O130&lt;0,"赤字",IF(AND(S130&gt;=90,H130&lt;=2),"要見直し",IF(P130&lt;0.15,"低利益","通常"))))</x:f>
      </x:c>
      <x:c r="V130" s="99" t="str">
        <x:f>IF(U130="","",IF(U130="赤字",100,0)+IF(S130&gt;=90,50,0)+IF(P130&lt;0.15,30,0)+IF(E130&gt;=15,10,0))</x:f>
      </x:c>
      <x:c r="W130" s="101" t="str">
        <x:f>IF(U130="","",IF(U130="赤字","価格・原価・送料を再確認",IF(AND(S130&gt;=90,H130&lt;=2),"値下げ・再出品・仕入停止を検討",IF(P130&lt;0.15,"送料・手数料を見直す","継続観察"))))</x:f>
      </x:c>
    </x:row>
    <x:row r="131">
      <x:c r="A131" s="95"/>
      <x:c r="B131" s="95"/>
      <x:c r="C131" s="95"/>
      <x:c r="D131" s="95"/>
      <x:c r="E131" s="95"/>
      <x:c r="F131" s="96"/>
      <x:c r="G131" s="96"/>
      <x:c r="H131" s="95"/>
      <x:c r="I131" s="97"/>
      <x:c r="J131" s="97"/>
      <x:c r="K131" s="98"/>
      <x:c r="L131" s="97"/>
      <x:c r="M131" s="97"/>
      <x:c r="N131" s="99" t="str">
        <x:f>IF(OR(I131="",K131=""),"",I131*K131)</x:f>
      </x:c>
      <x:c r="O131" s="99" t="str">
        <x:f>IF(OR(I131="",J131="",N131="",L131="",M131=""),"",I131-J131-N131-L131-M131)</x:f>
      </x:c>
      <x:c r="P131" s="100" t="str">
        <x:f>IFERROR(O131/I131,"")</x:f>
      </x:c>
      <x:c r="Q131" s="99" t="str">
        <x:f>IF(OR(H131="",I131=""),"",H131*I131)</x:f>
      </x:c>
      <x:c r="R131" s="99" t="str">
        <x:f>IF(OR(H131="",O131=""),"",H131*O131)</x:f>
      </x:c>
      <x:c r="S131" s="99" t="str">
        <x:f>IF(G131="","",$B$2-G131)</x:f>
      </x:c>
      <x:c r="T131" s="99" t="str">
        <x:f>IF(S131="","",IF(S131&gt;=90,"90日以上",IF(S131&gt;=60,"60-89日","59日以下")))</x:f>
      </x:c>
      <x:c r="U131" s="99" t="str">
        <x:f>IF(O131="","",IF(O131&lt;0,"赤字",IF(AND(S131&gt;=90,H131&lt;=2),"要見直し",IF(P131&lt;0.15,"低利益","通常"))))</x:f>
      </x:c>
      <x:c r="V131" s="99" t="str">
        <x:f>IF(U131="","",IF(U131="赤字",100,0)+IF(S131&gt;=90,50,0)+IF(P131&lt;0.15,30,0)+IF(E131&gt;=15,10,0))</x:f>
      </x:c>
      <x:c r="W131" s="101" t="str">
        <x:f>IF(U131="","",IF(U131="赤字","価格・原価・送料を再確認",IF(AND(S131&gt;=90,H131&lt;=2),"値下げ・再出品・仕入停止を検討",IF(P131&lt;0.15,"送料・手数料を見直す","継続観察"))))</x:f>
      </x:c>
    </x:row>
    <x:row r="132">
      <x:c r="A132" s="95"/>
      <x:c r="B132" s="95"/>
      <x:c r="C132" s="95"/>
      <x:c r="D132" s="95"/>
      <x:c r="E132" s="95"/>
      <x:c r="F132" s="96"/>
      <x:c r="G132" s="96"/>
      <x:c r="H132" s="95"/>
      <x:c r="I132" s="97"/>
      <x:c r="J132" s="97"/>
      <x:c r="K132" s="98"/>
      <x:c r="L132" s="97"/>
      <x:c r="M132" s="97"/>
      <x:c r="N132" s="99" t="str">
        <x:f>IF(OR(I132="",K132=""),"",I132*K132)</x:f>
      </x:c>
      <x:c r="O132" s="99" t="str">
        <x:f>IF(OR(I132="",J132="",N132="",L132="",M132=""),"",I132-J132-N132-L132-M132)</x:f>
      </x:c>
      <x:c r="P132" s="100" t="str">
        <x:f>IFERROR(O132/I132,"")</x:f>
      </x:c>
      <x:c r="Q132" s="99" t="str">
        <x:f>IF(OR(H132="",I132=""),"",H132*I132)</x:f>
      </x:c>
      <x:c r="R132" s="99" t="str">
        <x:f>IF(OR(H132="",O132=""),"",H132*O132)</x:f>
      </x:c>
      <x:c r="S132" s="99" t="str">
        <x:f>IF(G132="","",$B$2-G132)</x:f>
      </x:c>
      <x:c r="T132" s="99" t="str">
        <x:f>IF(S132="","",IF(S132&gt;=90,"90日以上",IF(S132&gt;=60,"60-89日","59日以下")))</x:f>
      </x:c>
      <x:c r="U132" s="99" t="str">
        <x:f>IF(O132="","",IF(O132&lt;0,"赤字",IF(AND(S132&gt;=90,H132&lt;=2),"要見直し",IF(P132&lt;0.15,"低利益","通常"))))</x:f>
      </x:c>
      <x:c r="V132" s="99" t="str">
        <x:f>IF(U132="","",IF(U132="赤字",100,0)+IF(S132&gt;=90,50,0)+IF(P132&lt;0.15,30,0)+IF(E132&gt;=15,10,0))</x:f>
      </x:c>
      <x:c r="W132" s="101" t="str">
        <x:f>IF(U132="","",IF(U132="赤字","価格・原価・送料を再確認",IF(AND(S132&gt;=90,H132&lt;=2),"値下げ・再出品・仕入停止を検討",IF(P132&lt;0.15,"送料・手数料を見直す","継続観察"))))</x:f>
      </x:c>
    </x:row>
    <x:row r="133">
      <x:c r="A133" s="95"/>
      <x:c r="B133" s="95"/>
      <x:c r="C133" s="95"/>
      <x:c r="D133" s="95"/>
      <x:c r="E133" s="95"/>
      <x:c r="F133" s="96"/>
      <x:c r="G133" s="96"/>
      <x:c r="H133" s="95"/>
      <x:c r="I133" s="97"/>
      <x:c r="J133" s="97"/>
      <x:c r="K133" s="98"/>
      <x:c r="L133" s="97"/>
      <x:c r="M133" s="97"/>
      <x:c r="N133" s="99" t="str">
        <x:f>IF(OR(I133="",K133=""),"",I133*K133)</x:f>
      </x:c>
      <x:c r="O133" s="99" t="str">
        <x:f>IF(OR(I133="",J133="",N133="",L133="",M133=""),"",I133-J133-N133-L133-M133)</x:f>
      </x:c>
      <x:c r="P133" s="100" t="str">
        <x:f>IFERROR(O133/I133,"")</x:f>
      </x:c>
      <x:c r="Q133" s="99" t="str">
        <x:f>IF(OR(H133="",I133=""),"",H133*I133)</x:f>
      </x:c>
      <x:c r="R133" s="99" t="str">
        <x:f>IF(OR(H133="",O133=""),"",H133*O133)</x:f>
      </x:c>
      <x:c r="S133" s="99" t="str">
        <x:f>IF(G133="","",$B$2-G133)</x:f>
      </x:c>
      <x:c r="T133" s="99" t="str">
        <x:f>IF(S133="","",IF(S133&gt;=90,"90日以上",IF(S133&gt;=60,"60-89日","59日以下")))</x:f>
      </x:c>
      <x:c r="U133" s="99" t="str">
        <x:f>IF(O133="","",IF(O133&lt;0,"赤字",IF(AND(S133&gt;=90,H133&lt;=2),"要見直し",IF(P133&lt;0.15,"低利益","通常"))))</x:f>
      </x:c>
      <x:c r="V133" s="99" t="str">
        <x:f>IF(U133="","",IF(U133="赤字",100,0)+IF(S133&gt;=90,50,0)+IF(P133&lt;0.15,30,0)+IF(E133&gt;=15,10,0))</x:f>
      </x:c>
      <x:c r="W133" s="101" t="str">
        <x:f>IF(U133="","",IF(U133="赤字","価格・原価・送料を再確認",IF(AND(S133&gt;=90,H133&lt;=2),"値下げ・再出品・仕入停止を検討",IF(P133&lt;0.15,"送料・手数料を見直す","継続観察"))))</x:f>
      </x:c>
    </x:row>
    <x:row r="134">
      <x:c r="A134" s="95"/>
      <x:c r="B134" s="95"/>
      <x:c r="C134" s="95"/>
      <x:c r="D134" s="95"/>
      <x:c r="E134" s="95"/>
      <x:c r="F134" s="96"/>
      <x:c r="G134" s="96"/>
      <x:c r="H134" s="95"/>
      <x:c r="I134" s="97"/>
      <x:c r="J134" s="97"/>
      <x:c r="K134" s="98"/>
      <x:c r="L134" s="97"/>
      <x:c r="M134" s="97"/>
      <x:c r="N134" s="99" t="str">
        <x:f>IF(OR(I134="",K134=""),"",I134*K134)</x:f>
      </x:c>
      <x:c r="O134" s="99" t="str">
        <x:f>IF(OR(I134="",J134="",N134="",L134="",M134=""),"",I134-J134-N134-L134-M134)</x:f>
      </x:c>
      <x:c r="P134" s="100" t="str">
        <x:f>IFERROR(O134/I134,"")</x:f>
      </x:c>
      <x:c r="Q134" s="99" t="str">
        <x:f>IF(OR(H134="",I134=""),"",H134*I134)</x:f>
      </x:c>
      <x:c r="R134" s="99" t="str">
        <x:f>IF(OR(H134="",O134=""),"",H134*O134)</x:f>
      </x:c>
      <x:c r="S134" s="99" t="str">
        <x:f>IF(G134="","",$B$2-G134)</x:f>
      </x:c>
      <x:c r="T134" s="99" t="str">
        <x:f>IF(S134="","",IF(S134&gt;=90,"90日以上",IF(S134&gt;=60,"60-89日","59日以下")))</x:f>
      </x:c>
      <x:c r="U134" s="99" t="str">
        <x:f>IF(O134="","",IF(O134&lt;0,"赤字",IF(AND(S134&gt;=90,H134&lt;=2),"要見直し",IF(P134&lt;0.15,"低利益","通常"))))</x:f>
      </x:c>
      <x:c r="V134" s="99" t="str">
        <x:f>IF(U134="","",IF(U134="赤字",100,0)+IF(S134&gt;=90,50,0)+IF(P134&lt;0.15,30,0)+IF(E134&gt;=15,10,0))</x:f>
      </x:c>
      <x:c r="W134" s="101" t="str">
        <x:f>IF(U134="","",IF(U134="赤字","価格・原価・送料を再確認",IF(AND(S134&gt;=90,H134&lt;=2),"値下げ・再出品・仕入停止を検討",IF(P134&lt;0.15,"送料・手数料を見直す","継続観察"))))</x:f>
      </x:c>
    </x:row>
    <x:row r="135">
      <x:c r="A135" s="95"/>
      <x:c r="B135" s="95"/>
      <x:c r="C135" s="95"/>
      <x:c r="D135" s="95"/>
      <x:c r="E135" s="95"/>
      <x:c r="F135" s="96"/>
      <x:c r="G135" s="96"/>
      <x:c r="H135" s="95"/>
      <x:c r="I135" s="97"/>
      <x:c r="J135" s="97"/>
      <x:c r="K135" s="98"/>
      <x:c r="L135" s="97"/>
      <x:c r="M135" s="97"/>
      <x:c r="N135" s="99" t="str">
        <x:f>IF(OR(I135="",K135=""),"",I135*K135)</x:f>
      </x:c>
      <x:c r="O135" s="99" t="str">
        <x:f>IF(OR(I135="",J135="",N135="",L135="",M135=""),"",I135-J135-N135-L135-M135)</x:f>
      </x:c>
      <x:c r="P135" s="100" t="str">
        <x:f>IFERROR(O135/I135,"")</x:f>
      </x:c>
      <x:c r="Q135" s="99" t="str">
        <x:f>IF(OR(H135="",I135=""),"",H135*I135)</x:f>
      </x:c>
      <x:c r="R135" s="99" t="str">
        <x:f>IF(OR(H135="",O135=""),"",H135*O135)</x:f>
      </x:c>
      <x:c r="S135" s="99" t="str">
        <x:f>IF(G135="","",$B$2-G135)</x:f>
      </x:c>
      <x:c r="T135" s="99" t="str">
        <x:f>IF(S135="","",IF(S135&gt;=90,"90日以上",IF(S135&gt;=60,"60-89日","59日以下")))</x:f>
      </x:c>
      <x:c r="U135" s="99" t="str">
        <x:f>IF(O135="","",IF(O135&lt;0,"赤字",IF(AND(S135&gt;=90,H135&lt;=2),"要見直し",IF(P135&lt;0.15,"低利益","通常"))))</x:f>
      </x:c>
      <x:c r="V135" s="99" t="str">
        <x:f>IF(U135="","",IF(U135="赤字",100,0)+IF(S135&gt;=90,50,0)+IF(P135&lt;0.15,30,0)+IF(E135&gt;=15,10,0))</x:f>
      </x:c>
      <x:c r="W135" s="101" t="str">
        <x:f>IF(U135="","",IF(U135="赤字","価格・原価・送料を再確認",IF(AND(S135&gt;=90,H135&lt;=2),"値下げ・再出品・仕入停止を検討",IF(P135&lt;0.15,"送料・手数料を見直す","継続観察"))))</x:f>
      </x:c>
    </x:row>
    <x:row r="136">
      <x:c r="A136" s="95"/>
      <x:c r="B136" s="95"/>
      <x:c r="C136" s="95"/>
      <x:c r="D136" s="95"/>
      <x:c r="E136" s="95"/>
      <x:c r="F136" s="96"/>
      <x:c r="G136" s="96"/>
      <x:c r="H136" s="95"/>
      <x:c r="I136" s="97"/>
      <x:c r="J136" s="97"/>
      <x:c r="K136" s="98"/>
      <x:c r="L136" s="97"/>
      <x:c r="M136" s="97"/>
      <x:c r="N136" s="99" t="str">
        <x:f>IF(OR(I136="",K136=""),"",I136*K136)</x:f>
      </x:c>
      <x:c r="O136" s="99" t="str">
        <x:f>IF(OR(I136="",J136="",N136="",L136="",M136=""),"",I136-J136-N136-L136-M136)</x:f>
      </x:c>
      <x:c r="P136" s="100" t="str">
        <x:f>IFERROR(O136/I136,"")</x:f>
      </x:c>
      <x:c r="Q136" s="99" t="str">
        <x:f>IF(OR(H136="",I136=""),"",H136*I136)</x:f>
      </x:c>
      <x:c r="R136" s="99" t="str">
        <x:f>IF(OR(H136="",O136=""),"",H136*O136)</x:f>
      </x:c>
      <x:c r="S136" s="99" t="str">
        <x:f>IF(G136="","",$B$2-G136)</x:f>
      </x:c>
      <x:c r="T136" s="99" t="str">
        <x:f>IF(S136="","",IF(S136&gt;=90,"90日以上",IF(S136&gt;=60,"60-89日","59日以下")))</x:f>
      </x:c>
      <x:c r="U136" s="99" t="str">
        <x:f>IF(O136="","",IF(O136&lt;0,"赤字",IF(AND(S136&gt;=90,H136&lt;=2),"要見直し",IF(P136&lt;0.15,"低利益","通常"))))</x:f>
      </x:c>
      <x:c r="V136" s="99" t="str">
        <x:f>IF(U136="","",IF(U136="赤字",100,0)+IF(S136&gt;=90,50,0)+IF(P136&lt;0.15,30,0)+IF(E136&gt;=15,10,0))</x:f>
      </x:c>
      <x:c r="W136" s="101" t="str">
        <x:f>IF(U136="","",IF(U136="赤字","価格・原価・送料を再確認",IF(AND(S136&gt;=90,H136&lt;=2),"値下げ・再出品・仕入停止を検討",IF(P136&lt;0.15,"送料・手数料を見直す","継続観察"))))</x:f>
      </x:c>
    </x:row>
    <x:row r="137">
      <x:c r="A137" s="95"/>
      <x:c r="B137" s="95"/>
      <x:c r="C137" s="95"/>
      <x:c r="D137" s="95"/>
      <x:c r="E137" s="95"/>
      <x:c r="F137" s="96"/>
      <x:c r="G137" s="96"/>
      <x:c r="H137" s="95"/>
      <x:c r="I137" s="97"/>
      <x:c r="J137" s="97"/>
      <x:c r="K137" s="98"/>
      <x:c r="L137" s="97"/>
      <x:c r="M137" s="97"/>
      <x:c r="N137" s="99" t="str">
        <x:f>IF(OR(I137="",K137=""),"",I137*K137)</x:f>
      </x:c>
      <x:c r="O137" s="99" t="str">
        <x:f>IF(OR(I137="",J137="",N137="",L137="",M137=""),"",I137-J137-N137-L137-M137)</x:f>
      </x:c>
      <x:c r="P137" s="100" t="str">
        <x:f>IFERROR(O137/I137,"")</x:f>
      </x:c>
      <x:c r="Q137" s="99" t="str">
        <x:f>IF(OR(H137="",I137=""),"",H137*I137)</x:f>
      </x:c>
      <x:c r="R137" s="99" t="str">
        <x:f>IF(OR(H137="",O137=""),"",H137*O137)</x:f>
      </x:c>
      <x:c r="S137" s="99" t="str">
        <x:f>IF(G137="","",$B$2-G137)</x:f>
      </x:c>
      <x:c r="T137" s="99" t="str">
        <x:f>IF(S137="","",IF(S137&gt;=90,"90日以上",IF(S137&gt;=60,"60-89日","59日以下")))</x:f>
      </x:c>
      <x:c r="U137" s="99" t="str">
        <x:f>IF(O137="","",IF(O137&lt;0,"赤字",IF(AND(S137&gt;=90,H137&lt;=2),"要見直し",IF(P137&lt;0.15,"低利益","通常"))))</x:f>
      </x:c>
      <x:c r="V137" s="99" t="str">
        <x:f>IF(U137="","",IF(U137="赤字",100,0)+IF(S137&gt;=90,50,0)+IF(P137&lt;0.15,30,0)+IF(E137&gt;=15,10,0))</x:f>
      </x:c>
      <x:c r="W137" s="101" t="str">
        <x:f>IF(U137="","",IF(U137="赤字","価格・原価・送料を再確認",IF(AND(S137&gt;=90,H137&lt;=2),"値下げ・再出品・仕入停止を検討",IF(P137&lt;0.15,"送料・手数料を見直す","継続観察"))))</x:f>
      </x:c>
    </x:row>
    <x:row r="138">
      <x:c r="A138" s="95"/>
      <x:c r="B138" s="95"/>
      <x:c r="C138" s="95"/>
      <x:c r="D138" s="95"/>
      <x:c r="E138" s="95"/>
      <x:c r="F138" s="96"/>
      <x:c r="G138" s="96"/>
      <x:c r="H138" s="95"/>
      <x:c r="I138" s="97"/>
      <x:c r="J138" s="97"/>
      <x:c r="K138" s="98"/>
      <x:c r="L138" s="97"/>
      <x:c r="M138" s="97"/>
      <x:c r="N138" s="99" t="str">
        <x:f>IF(OR(I138="",K138=""),"",I138*K138)</x:f>
      </x:c>
      <x:c r="O138" s="99" t="str">
        <x:f>IF(OR(I138="",J138="",N138="",L138="",M138=""),"",I138-J138-N138-L138-M138)</x:f>
      </x:c>
      <x:c r="P138" s="100" t="str">
        <x:f>IFERROR(O138/I138,"")</x:f>
      </x:c>
      <x:c r="Q138" s="99" t="str">
        <x:f>IF(OR(H138="",I138=""),"",H138*I138)</x:f>
      </x:c>
      <x:c r="R138" s="99" t="str">
        <x:f>IF(OR(H138="",O138=""),"",H138*O138)</x:f>
      </x:c>
      <x:c r="S138" s="99" t="str">
        <x:f>IF(G138="","",$B$2-G138)</x:f>
      </x:c>
      <x:c r="T138" s="99" t="str">
        <x:f>IF(S138="","",IF(S138&gt;=90,"90日以上",IF(S138&gt;=60,"60-89日","59日以下")))</x:f>
      </x:c>
      <x:c r="U138" s="99" t="str">
        <x:f>IF(O138="","",IF(O138&lt;0,"赤字",IF(AND(S138&gt;=90,H138&lt;=2),"要見直し",IF(P138&lt;0.15,"低利益","通常"))))</x:f>
      </x:c>
      <x:c r="V138" s="99" t="str">
        <x:f>IF(U138="","",IF(U138="赤字",100,0)+IF(S138&gt;=90,50,0)+IF(P138&lt;0.15,30,0)+IF(E138&gt;=15,10,0))</x:f>
      </x:c>
      <x:c r="W138" s="101" t="str">
        <x:f>IF(U138="","",IF(U138="赤字","価格・原価・送料を再確認",IF(AND(S138&gt;=90,H138&lt;=2),"値下げ・再出品・仕入停止を検討",IF(P138&lt;0.15,"送料・手数料を見直す","継続観察"))))</x:f>
      </x:c>
    </x:row>
    <x:row r="139">
      <x:c r="A139" s="95"/>
      <x:c r="B139" s="95"/>
      <x:c r="C139" s="95"/>
      <x:c r="D139" s="95"/>
      <x:c r="E139" s="95"/>
      <x:c r="F139" s="96"/>
      <x:c r="G139" s="96"/>
      <x:c r="H139" s="95"/>
      <x:c r="I139" s="97"/>
      <x:c r="J139" s="97"/>
      <x:c r="K139" s="98"/>
      <x:c r="L139" s="97"/>
      <x:c r="M139" s="97"/>
      <x:c r="N139" s="99" t="str">
        <x:f>IF(OR(I139="",K139=""),"",I139*K139)</x:f>
      </x:c>
      <x:c r="O139" s="99" t="str">
        <x:f>IF(OR(I139="",J139="",N139="",L139="",M139=""),"",I139-J139-N139-L139-M139)</x:f>
      </x:c>
      <x:c r="P139" s="100" t="str">
        <x:f>IFERROR(O139/I139,"")</x:f>
      </x:c>
      <x:c r="Q139" s="99" t="str">
        <x:f>IF(OR(H139="",I139=""),"",H139*I139)</x:f>
      </x:c>
      <x:c r="R139" s="99" t="str">
        <x:f>IF(OR(H139="",O139=""),"",H139*O139)</x:f>
      </x:c>
      <x:c r="S139" s="99" t="str">
        <x:f>IF(G139="","",$B$2-G139)</x:f>
      </x:c>
      <x:c r="T139" s="99" t="str">
        <x:f>IF(S139="","",IF(S139&gt;=90,"90日以上",IF(S139&gt;=60,"60-89日","59日以下")))</x:f>
      </x:c>
      <x:c r="U139" s="99" t="str">
        <x:f>IF(O139="","",IF(O139&lt;0,"赤字",IF(AND(S139&gt;=90,H139&lt;=2),"要見直し",IF(P139&lt;0.15,"低利益","通常"))))</x:f>
      </x:c>
      <x:c r="V139" s="99" t="str">
        <x:f>IF(U139="","",IF(U139="赤字",100,0)+IF(S139&gt;=90,50,0)+IF(P139&lt;0.15,30,0)+IF(E139&gt;=15,10,0))</x:f>
      </x:c>
      <x:c r="W139" s="101" t="str">
        <x:f>IF(U139="","",IF(U139="赤字","価格・原価・送料を再確認",IF(AND(S139&gt;=90,H139&lt;=2),"値下げ・再出品・仕入停止を検討",IF(P139&lt;0.15,"送料・手数料を見直す","継続観察"))))</x:f>
      </x:c>
    </x:row>
    <x:row r="140">
      <x:c r="A140" s="95"/>
      <x:c r="B140" s="95"/>
      <x:c r="C140" s="95"/>
      <x:c r="D140" s="95"/>
      <x:c r="E140" s="95"/>
      <x:c r="F140" s="96"/>
      <x:c r="G140" s="96"/>
      <x:c r="H140" s="95"/>
      <x:c r="I140" s="97"/>
      <x:c r="J140" s="97"/>
      <x:c r="K140" s="98"/>
      <x:c r="L140" s="97"/>
      <x:c r="M140" s="97"/>
      <x:c r="N140" s="99" t="str">
        <x:f>IF(OR(I140="",K140=""),"",I140*K140)</x:f>
      </x:c>
      <x:c r="O140" s="99" t="str">
        <x:f>IF(OR(I140="",J140="",N140="",L140="",M140=""),"",I140-J140-N140-L140-M140)</x:f>
      </x:c>
      <x:c r="P140" s="100" t="str">
        <x:f>IFERROR(O140/I140,"")</x:f>
      </x:c>
      <x:c r="Q140" s="99" t="str">
        <x:f>IF(OR(H140="",I140=""),"",H140*I140)</x:f>
      </x:c>
      <x:c r="R140" s="99" t="str">
        <x:f>IF(OR(H140="",O140=""),"",H140*O140)</x:f>
      </x:c>
      <x:c r="S140" s="99" t="str">
        <x:f>IF(G140="","",$B$2-G140)</x:f>
      </x:c>
      <x:c r="T140" s="99" t="str">
        <x:f>IF(S140="","",IF(S140&gt;=90,"90日以上",IF(S140&gt;=60,"60-89日","59日以下")))</x:f>
      </x:c>
      <x:c r="U140" s="99" t="str">
        <x:f>IF(O140="","",IF(O140&lt;0,"赤字",IF(AND(S140&gt;=90,H140&lt;=2),"要見直し",IF(P140&lt;0.15,"低利益","通常"))))</x:f>
      </x:c>
      <x:c r="V140" s="99" t="str">
        <x:f>IF(U140="","",IF(U140="赤字",100,0)+IF(S140&gt;=90,50,0)+IF(P140&lt;0.15,30,0)+IF(E140&gt;=15,10,0))</x:f>
      </x:c>
      <x:c r="W140" s="101" t="str">
        <x:f>IF(U140="","",IF(U140="赤字","価格・原価・送料を再確認",IF(AND(S140&gt;=90,H140&lt;=2),"値下げ・再出品・仕入停止を検討",IF(P140&lt;0.15,"送料・手数料を見直す","継続観察"))))</x:f>
      </x:c>
    </x:row>
    <x:row r="141">
      <x:c r="A141" s="95"/>
      <x:c r="B141" s="95"/>
      <x:c r="C141" s="95"/>
      <x:c r="D141" s="95"/>
      <x:c r="E141" s="95"/>
      <x:c r="F141" s="96"/>
      <x:c r="G141" s="96"/>
      <x:c r="H141" s="95"/>
      <x:c r="I141" s="97"/>
      <x:c r="J141" s="97"/>
      <x:c r="K141" s="98"/>
      <x:c r="L141" s="97"/>
      <x:c r="M141" s="97"/>
      <x:c r="N141" s="99" t="str">
        <x:f>IF(OR(I141="",K141=""),"",I141*K141)</x:f>
      </x:c>
      <x:c r="O141" s="99" t="str">
        <x:f>IF(OR(I141="",J141="",N141="",L141="",M141=""),"",I141-J141-N141-L141-M141)</x:f>
      </x:c>
      <x:c r="P141" s="100" t="str">
        <x:f>IFERROR(O141/I141,"")</x:f>
      </x:c>
      <x:c r="Q141" s="99" t="str">
        <x:f>IF(OR(H141="",I141=""),"",H141*I141)</x:f>
      </x:c>
      <x:c r="R141" s="99" t="str">
        <x:f>IF(OR(H141="",O141=""),"",H141*O141)</x:f>
      </x:c>
      <x:c r="S141" s="99" t="str">
        <x:f>IF(G141="","",$B$2-G141)</x:f>
      </x:c>
      <x:c r="T141" s="99" t="str">
        <x:f>IF(S141="","",IF(S141&gt;=90,"90日以上",IF(S141&gt;=60,"60-89日","59日以下")))</x:f>
      </x:c>
      <x:c r="U141" s="99" t="str">
        <x:f>IF(O141="","",IF(O141&lt;0,"赤字",IF(AND(S141&gt;=90,H141&lt;=2),"要見直し",IF(P141&lt;0.15,"低利益","通常"))))</x:f>
      </x:c>
      <x:c r="V141" s="99" t="str">
        <x:f>IF(U141="","",IF(U141="赤字",100,0)+IF(S141&gt;=90,50,0)+IF(P141&lt;0.15,30,0)+IF(E141&gt;=15,10,0))</x:f>
      </x:c>
      <x:c r="W141" s="101" t="str">
        <x:f>IF(U141="","",IF(U141="赤字","価格・原価・送料を再確認",IF(AND(S141&gt;=90,H141&lt;=2),"値下げ・再出品・仕入停止を検討",IF(P141&lt;0.15,"送料・手数料を見直す","継続観察"))))</x:f>
      </x:c>
    </x:row>
    <x:row r="142">
      <x:c r="A142" s="95"/>
      <x:c r="B142" s="95"/>
      <x:c r="C142" s="95"/>
      <x:c r="D142" s="95"/>
      <x:c r="E142" s="95"/>
      <x:c r="F142" s="96"/>
      <x:c r="G142" s="96"/>
      <x:c r="H142" s="95"/>
      <x:c r="I142" s="97"/>
      <x:c r="J142" s="97"/>
      <x:c r="K142" s="98"/>
      <x:c r="L142" s="97"/>
      <x:c r="M142" s="97"/>
      <x:c r="N142" s="99" t="str">
        <x:f>IF(OR(I142="",K142=""),"",I142*K142)</x:f>
      </x:c>
      <x:c r="O142" s="99" t="str">
        <x:f>IF(OR(I142="",J142="",N142="",L142="",M142=""),"",I142-J142-N142-L142-M142)</x:f>
      </x:c>
      <x:c r="P142" s="100" t="str">
        <x:f>IFERROR(O142/I142,"")</x:f>
      </x:c>
      <x:c r="Q142" s="99" t="str">
        <x:f>IF(OR(H142="",I142=""),"",H142*I142)</x:f>
      </x:c>
      <x:c r="R142" s="99" t="str">
        <x:f>IF(OR(H142="",O142=""),"",H142*O142)</x:f>
      </x:c>
      <x:c r="S142" s="99" t="str">
        <x:f>IF(G142="","",$B$2-G142)</x:f>
      </x:c>
      <x:c r="T142" s="99" t="str">
        <x:f>IF(S142="","",IF(S142&gt;=90,"90日以上",IF(S142&gt;=60,"60-89日","59日以下")))</x:f>
      </x:c>
      <x:c r="U142" s="99" t="str">
        <x:f>IF(O142="","",IF(O142&lt;0,"赤字",IF(AND(S142&gt;=90,H142&lt;=2),"要見直し",IF(P142&lt;0.15,"低利益","通常"))))</x:f>
      </x:c>
      <x:c r="V142" s="99" t="str">
        <x:f>IF(U142="","",IF(U142="赤字",100,0)+IF(S142&gt;=90,50,0)+IF(P142&lt;0.15,30,0)+IF(E142&gt;=15,10,0))</x:f>
      </x:c>
      <x:c r="W142" s="101" t="str">
        <x:f>IF(U142="","",IF(U142="赤字","価格・原価・送料を再確認",IF(AND(S142&gt;=90,H142&lt;=2),"値下げ・再出品・仕入停止を検討",IF(P142&lt;0.15,"送料・手数料を見直す","継続観察"))))</x:f>
      </x:c>
    </x:row>
    <x:row r="143">
      <x:c r="A143" s="95"/>
      <x:c r="B143" s="95"/>
      <x:c r="C143" s="95"/>
      <x:c r="D143" s="95"/>
      <x:c r="E143" s="95"/>
      <x:c r="F143" s="96"/>
      <x:c r="G143" s="96"/>
      <x:c r="H143" s="95"/>
      <x:c r="I143" s="97"/>
      <x:c r="J143" s="97"/>
      <x:c r="K143" s="98"/>
      <x:c r="L143" s="97"/>
      <x:c r="M143" s="97"/>
      <x:c r="N143" s="99" t="str">
        <x:f>IF(OR(I143="",K143=""),"",I143*K143)</x:f>
      </x:c>
      <x:c r="O143" s="99" t="str">
        <x:f>IF(OR(I143="",J143="",N143="",L143="",M143=""),"",I143-J143-N143-L143-M143)</x:f>
      </x:c>
      <x:c r="P143" s="100" t="str">
        <x:f>IFERROR(O143/I143,"")</x:f>
      </x:c>
      <x:c r="Q143" s="99" t="str">
        <x:f>IF(OR(H143="",I143=""),"",H143*I143)</x:f>
      </x:c>
      <x:c r="R143" s="99" t="str">
        <x:f>IF(OR(H143="",O143=""),"",H143*O143)</x:f>
      </x:c>
      <x:c r="S143" s="99" t="str">
        <x:f>IF(G143="","",$B$2-G143)</x:f>
      </x:c>
      <x:c r="T143" s="99" t="str">
        <x:f>IF(S143="","",IF(S143&gt;=90,"90日以上",IF(S143&gt;=60,"60-89日","59日以下")))</x:f>
      </x:c>
      <x:c r="U143" s="99" t="str">
        <x:f>IF(O143="","",IF(O143&lt;0,"赤字",IF(AND(S143&gt;=90,H143&lt;=2),"要見直し",IF(P143&lt;0.15,"低利益","通常"))))</x:f>
      </x:c>
      <x:c r="V143" s="99" t="str">
        <x:f>IF(U143="","",IF(U143="赤字",100,0)+IF(S143&gt;=90,50,0)+IF(P143&lt;0.15,30,0)+IF(E143&gt;=15,10,0))</x:f>
      </x:c>
      <x:c r="W143" s="101" t="str">
        <x:f>IF(U143="","",IF(U143="赤字","価格・原価・送料を再確認",IF(AND(S143&gt;=90,H143&lt;=2),"値下げ・再出品・仕入停止を検討",IF(P143&lt;0.15,"送料・手数料を見直す","継続観察"))))</x:f>
      </x:c>
    </x:row>
    <x:row r="144">
      <x:c r="A144" s="95"/>
      <x:c r="B144" s="95"/>
      <x:c r="C144" s="95"/>
      <x:c r="D144" s="95"/>
      <x:c r="E144" s="95"/>
      <x:c r="F144" s="96"/>
      <x:c r="G144" s="96"/>
      <x:c r="H144" s="95"/>
      <x:c r="I144" s="97"/>
      <x:c r="J144" s="97"/>
      <x:c r="K144" s="98"/>
      <x:c r="L144" s="97"/>
      <x:c r="M144" s="97"/>
      <x:c r="N144" s="99" t="str">
        <x:f>IF(OR(I144="",K144=""),"",I144*K144)</x:f>
      </x:c>
      <x:c r="O144" s="99" t="str">
        <x:f>IF(OR(I144="",J144="",N144="",L144="",M144=""),"",I144-J144-N144-L144-M144)</x:f>
      </x:c>
      <x:c r="P144" s="100" t="str">
        <x:f>IFERROR(O144/I144,"")</x:f>
      </x:c>
      <x:c r="Q144" s="99" t="str">
        <x:f>IF(OR(H144="",I144=""),"",H144*I144)</x:f>
      </x:c>
      <x:c r="R144" s="99" t="str">
        <x:f>IF(OR(H144="",O144=""),"",H144*O144)</x:f>
      </x:c>
      <x:c r="S144" s="99" t="str">
        <x:f>IF(G144="","",$B$2-G144)</x:f>
      </x:c>
      <x:c r="T144" s="99" t="str">
        <x:f>IF(S144="","",IF(S144&gt;=90,"90日以上",IF(S144&gt;=60,"60-89日","59日以下")))</x:f>
      </x:c>
      <x:c r="U144" s="99" t="str">
        <x:f>IF(O144="","",IF(O144&lt;0,"赤字",IF(AND(S144&gt;=90,H144&lt;=2),"要見直し",IF(P144&lt;0.15,"低利益","通常"))))</x:f>
      </x:c>
      <x:c r="V144" s="99" t="str">
        <x:f>IF(U144="","",IF(U144="赤字",100,0)+IF(S144&gt;=90,50,0)+IF(P144&lt;0.15,30,0)+IF(E144&gt;=15,10,0))</x:f>
      </x:c>
      <x:c r="W144" s="101" t="str">
        <x:f>IF(U144="","",IF(U144="赤字","価格・原価・送料を再確認",IF(AND(S144&gt;=90,H144&lt;=2),"値下げ・再出品・仕入停止を検討",IF(P144&lt;0.15,"送料・手数料を見直す","継続観察"))))</x:f>
      </x:c>
    </x:row>
    <x:row r="145">
      <x:c r="A145" s="95"/>
      <x:c r="B145" s="95"/>
      <x:c r="C145" s="95"/>
      <x:c r="D145" s="95"/>
      <x:c r="E145" s="95"/>
      <x:c r="F145" s="96"/>
      <x:c r="G145" s="96"/>
      <x:c r="H145" s="95"/>
      <x:c r="I145" s="97"/>
      <x:c r="J145" s="97"/>
      <x:c r="K145" s="98"/>
      <x:c r="L145" s="97"/>
      <x:c r="M145" s="97"/>
      <x:c r="N145" s="99" t="str">
        <x:f>IF(OR(I145="",K145=""),"",I145*K145)</x:f>
      </x:c>
      <x:c r="O145" s="99" t="str">
        <x:f>IF(OR(I145="",J145="",N145="",L145="",M145=""),"",I145-J145-N145-L145-M145)</x:f>
      </x:c>
      <x:c r="P145" s="100" t="str">
        <x:f>IFERROR(O145/I145,"")</x:f>
      </x:c>
      <x:c r="Q145" s="99" t="str">
        <x:f>IF(OR(H145="",I145=""),"",H145*I145)</x:f>
      </x:c>
      <x:c r="R145" s="99" t="str">
        <x:f>IF(OR(H145="",O145=""),"",H145*O145)</x:f>
      </x:c>
      <x:c r="S145" s="99" t="str">
        <x:f>IF(G145="","",$B$2-G145)</x:f>
      </x:c>
      <x:c r="T145" s="99" t="str">
        <x:f>IF(S145="","",IF(S145&gt;=90,"90日以上",IF(S145&gt;=60,"60-89日","59日以下")))</x:f>
      </x:c>
      <x:c r="U145" s="99" t="str">
        <x:f>IF(O145="","",IF(O145&lt;0,"赤字",IF(AND(S145&gt;=90,H145&lt;=2),"要見直し",IF(P145&lt;0.15,"低利益","通常"))))</x:f>
      </x:c>
      <x:c r="V145" s="99" t="str">
        <x:f>IF(U145="","",IF(U145="赤字",100,0)+IF(S145&gt;=90,50,0)+IF(P145&lt;0.15,30,0)+IF(E145&gt;=15,10,0))</x:f>
      </x:c>
      <x:c r="W145" s="101" t="str">
        <x:f>IF(U145="","",IF(U145="赤字","価格・原価・送料を再確認",IF(AND(S145&gt;=90,H145&lt;=2),"値下げ・再出品・仕入停止を検討",IF(P145&lt;0.15,"送料・手数料を見直す","継続観察"))))</x:f>
      </x:c>
    </x:row>
    <x:row r="146">
      <x:c r="A146" s="95"/>
      <x:c r="B146" s="95"/>
      <x:c r="C146" s="95"/>
      <x:c r="D146" s="95"/>
      <x:c r="E146" s="95"/>
      <x:c r="F146" s="96"/>
      <x:c r="G146" s="96"/>
      <x:c r="H146" s="95"/>
      <x:c r="I146" s="97"/>
      <x:c r="J146" s="97"/>
      <x:c r="K146" s="98"/>
      <x:c r="L146" s="97"/>
      <x:c r="M146" s="97"/>
      <x:c r="N146" s="99" t="str">
        <x:f>IF(OR(I146="",K146=""),"",I146*K146)</x:f>
      </x:c>
      <x:c r="O146" s="99" t="str">
        <x:f>IF(OR(I146="",J146="",N146="",L146="",M146=""),"",I146-J146-N146-L146-M146)</x:f>
      </x:c>
      <x:c r="P146" s="100" t="str">
        <x:f>IFERROR(O146/I146,"")</x:f>
      </x:c>
      <x:c r="Q146" s="99" t="str">
        <x:f>IF(OR(H146="",I146=""),"",H146*I146)</x:f>
      </x:c>
      <x:c r="R146" s="99" t="str">
        <x:f>IF(OR(H146="",O146=""),"",H146*O146)</x:f>
      </x:c>
      <x:c r="S146" s="99" t="str">
        <x:f>IF(G146="","",$B$2-G146)</x:f>
      </x:c>
      <x:c r="T146" s="99" t="str">
        <x:f>IF(S146="","",IF(S146&gt;=90,"90日以上",IF(S146&gt;=60,"60-89日","59日以下")))</x:f>
      </x:c>
      <x:c r="U146" s="99" t="str">
        <x:f>IF(O146="","",IF(O146&lt;0,"赤字",IF(AND(S146&gt;=90,H146&lt;=2),"要見直し",IF(P146&lt;0.15,"低利益","通常"))))</x:f>
      </x:c>
      <x:c r="V146" s="99" t="str">
        <x:f>IF(U146="","",IF(U146="赤字",100,0)+IF(S146&gt;=90,50,0)+IF(P146&lt;0.15,30,0)+IF(E146&gt;=15,10,0))</x:f>
      </x:c>
      <x:c r="W146" s="101" t="str">
        <x:f>IF(U146="","",IF(U146="赤字","価格・原価・送料を再確認",IF(AND(S146&gt;=90,H146&lt;=2),"値下げ・再出品・仕入停止を検討",IF(P146&lt;0.15,"送料・手数料を見直す","継続観察"))))</x:f>
      </x:c>
    </x:row>
    <x:row r="147">
      <x:c r="A147" s="95"/>
      <x:c r="B147" s="95"/>
      <x:c r="C147" s="95"/>
      <x:c r="D147" s="95"/>
      <x:c r="E147" s="95"/>
      <x:c r="F147" s="96"/>
      <x:c r="G147" s="96"/>
      <x:c r="H147" s="95"/>
      <x:c r="I147" s="97"/>
      <x:c r="J147" s="97"/>
      <x:c r="K147" s="98"/>
      <x:c r="L147" s="97"/>
      <x:c r="M147" s="97"/>
      <x:c r="N147" s="99" t="str">
        <x:f>IF(OR(I147="",K147=""),"",I147*K147)</x:f>
      </x:c>
      <x:c r="O147" s="99" t="str">
        <x:f>IF(OR(I147="",J147="",N147="",L147="",M147=""),"",I147-J147-N147-L147-M147)</x:f>
      </x:c>
      <x:c r="P147" s="100" t="str">
        <x:f>IFERROR(O147/I147,"")</x:f>
      </x:c>
      <x:c r="Q147" s="99" t="str">
        <x:f>IF(OR(H147="",I147=""),"",H147*I147)</x:f>
      </x:c>
      <x:c r="R147" s="99" t="str">
        <x:f>IF(OR(H147="",O147=""),"",H147*O147)</x:f>
      </x:c>
      <x:c r="S147" s="99" t="str">
        <x:f>IF(G147="","",$B$2-G147)</x:f>
      </x:c>
      <x:c r="T147" s="99" t="str">
        <x:f>IF(S147="","",IF(S147&gt;=90,"90日以上",IF(S147&gt;=60,"60-89日","59日以下")))</x:f>
      </x:c>
      <x:c r="U147" s="99" t="str">
        <x:f>IF(O147="","",IF(O147&lt;0,"赤字",IF(AND(S147&gt;=90,H147&lt;=2),"要見直し",IF(P147&lt;0.15,"低利益","通常"))))</x:f>
      </x:c>
      <x:c r="V147" s="99" t="str">
        <x:f>IF(U147="","",IF(U147="赤字",100,0)+IF(S147&gt;=90,50,0)+IF(P147&lt;0.15,30,0)+IF(E147&gt;=15,10,0))</x:f>
      </x:c>
      <x:c r="W147" s="101" t="str">
        <x:f>IF(U147="","",IF(U147="赤字","価格・原価・送料を再確認",IF(AND(S147&gt;=90,H147&lt;=2),"値下げ・再出品・仕入停止を検討",IF(P147&lt;0.15,"送料・手数料を見直す","継続観察"))))</x:f>
      </x:c>
    </x:row>
    <x:row r="148">
      <x:c r="A148" s="95"/>
      <x:c r="B148" s="95"/>
      <x:c r="C148" s="95"/>
      <x:c r="D148" s="95"/>
      <x:c r="E148" s="95"/>
      <x:c r="F148" s="96"/>
      <x:c r="G148" s="96"/>
      <x:c r="H148" s="95"/>
      <x:c r="I148" s="97"/>
      <x:c r="J148" s="97"/>
      <x:c r="K148" s="98"/>
      <x:c r="L148" s="97"/>
      <x:c r="M148" s="97"/>
      <x:c r="N148" s="99" t="str">
        <x:f>IF(OR(I148="",K148=""),"",I148*K148)</x:f>
      </x:c>
      <x:c r="O148" s="99" t="str">
        <x:f>IF(OR(I148="",J148="",N148="",L148="",M148=""),"",I148-J148-N148-L148-M148)</x:f>
      </x:c>
      <x:c r="P148" s="100" t="str">
        <x:f>IFERROR(O148/I148,"")</x:f>
      </x:c>
      <x:c r="Q148" s="99" t="str">
        <x:f>IF(OR(H148="",I148=""),"",H148*I148)</x:f>
      </x:c>
      <x:c r="R148" s="99" t="str">
        <x:f>IF(OR(H148="",O148=""),"",H148*O148)</x:f>
      </x:c>
      <x:c r="S148" s="99" t="str">
        <x:f>IF(G148="","",$B$2-G148)</x:f>
      </x:c>
      <x:c r="T148" s="99" t="str">
        <x:f>IF(S148="","",IF(S148&gt;=90,"90日以上",IF(S148&gt;=60,"60-89日","59日以下")))</x:f>
      </x:c>
      <x:c r="U148" s="99" t="str">
        <x:f>IF(O148="","",IF(O148&lt;0,"赤字",IF(AND(S148&gt;=90,H148&lt;=2),"要見直し",IF(P148&lt;0.15,"低利益","通常"))))</x:f>
      </x:c>
      <x:c r="V148" s="99" t="str">
        <x:f>IF(U148="","",IF(U148="赤字",100,0)+IF(S148&gt;=90,50,0)+IF(P148&lt;0.15,30,0)+IF(E148&gt;=15,10,0))</x:f>
      </x:c>
      <x:c r="W148" s="101" t="str">
        <x:f>IF(U148="","",IF(U148="赤字","価格・原価・送料を再確認",IF(AND(S148&gt;=90,H148&lt;=2),"値下げ・再出品・仕入停止を検討",IF(P148&lt;0.15,"送料・手数料を見直す","継続観察"))))</x:f>
      </x:c>
    </x:row>
    <x:row r="149">
      <x:c r="A149" s="95"/>
      <x:c r="B149" s="95"/>
      <x:c r="C149" s="95"/>
      <x:c r="D149" s="95"/>
      <x:c r="E149" s="95"/>
      <x:c r="F149" s="96"/>
      <x:c r="G149" s="96"/>
      <x:c r="H149" s="95"/>
      <x:c r="I149" s="97"/>
      <x:c r="J149" s="97"/>
      <x:c r="K149" s="98"/>
      <x:c r="L149" s="97"/>
      <x:c r="M149" s="97"/>
      <x:c r="N149" s="99" t="str">
        <x:f>IF(OR(I149="",K149=""),"",I149*K149)</x:f>
      </x:c>
      <x:c r="O149" s="99" t="str">
        <x:f>IF(OR(I149="",J149="",N149="",L149="",M149=""),"",I149-J149-N149-L149-M149)</x:f>
      </x:c>
      <x:c r="P149" s="100" t="str">
        <x:f>IFERROR(O149/I149,"")</x:f>
      </x:c>
      <x:c r="Q149" s="99" t="str">
        <x:f>IF(OR(H149="",I149=""),"",H149*I149)</x:f>
      </x:c>
      <x:c r="R149" s="99" t="str">
        <x:f>IF(OR(H149="",O149=""),"",H149*O149)</x:f>
      </x:c>
      <x:c r="S149" s="99" t="str">
        <x:f>IF(G149="","",$B$2-G149)</x:f>
      </x:c>
      <x:c r="T149" s="99" t="str">
        <x:f>IF(S149="","",IF(S149&gt;=90,"90日以上",IF(S149&gt;=60,"60-89日","59日以下")))</x:f>
      </x:c>
      <x:c r="U149" s="99" t="str">
        <x:f>IF(O149="","",IF(O149&lt;0,"赤字",IF(AND(S149&gt;=90,H149&lt;=2),"要見直し",IF(P149&lt;0.15,"低利益","通常"))))</x:f>
      </x:c>
      <x:c r="V149" s="99" t="str">
        <x:f>IF(U149="","",IF(U149="赤字",100,0)+IF(S149&gt;=90,50,0)+IF(P149&lt;0.15,30,0)+IF(E149&gt;=15,10,0))</x:f>
      </x:c>
      <x:c r="W149" s="101" t="str">
        <x:f>IF(U149="","",IF(U149="赤字","価格・原価・送料を再確認",IF(AND(S149&gt;=90,H149&lt;=2),"値下げ・再出品・仕入停止を検討",IF(P149&lt;0.15,"送料・手数料を見直す","継続観察"))))</x:f>
      </x:c>
    </x:row>
    <x:row r="150">
      <x:c r="A150" s="95"/>
      <x:c r="B150" s="95"/>
      <x:c r="C150" s="95"/>
      <x:c r="D150" s="95"/>
      <x:c r="E150" s="95"/>
      <x:c r="F150" s="96"/>
      <x:c r="G150" s="96"/>
      <x:c r="H150" s="95"/>
      <x:c r="I150" s="97"/>
      <x:c r="J150" s="97"/>
      <x:c r="K150" s="98"/>
      <x:c r="L150" s="97"/>
      <x:c r="M150" s="97"/>
      <x:c r="N150" s="99" t="str">
        <x:f>IF(OR(I150="",K150=""),"",I150*K150)</x:f>
      </x:c>
      <x:c r="O150" s="99" t="str">
        <x:f>IF(OR(I150="",J150="",N150="",L150="",M150=""),"",I150-J150-N150-L150-M150)</x:f>
      </x:c>
      <x:c r="P150" s="100" t="str">
        <x:f>IFERROR(O150/I150,"")</x:f>
      </x:c>
      <x:c r="Q150" s="99" t="str">
        <x:f>IF(OR(H150="",I150=""),"",H150*I150)</x:f>
      </x:c>
      <x:c r="R150" s="99" t="str">
        <x:f>IF(OR(H150="",O150=""),"",H150*O150)</x:f>
      </x:c>
      <x:c r="S150" s="99" t="str">
        <x:f>IF(G150="","",$B$2-G150)</x:f>
      </x:c>
      <x:c r="T150" s="99" t="str">
        <x:f>IF(S150="","",IF(S150&gt;=90,"90日以上",IF(S150&gt;=60,"60-89日","59日以下")))</x:f>
      </x:c>
      <x:c r="U150" s="99" t="str">
        <x:f>IF(O150="","",IF(O150&lt;0,"赤字",IF(AND(S150&gt;=90,H150&lt;=2),"要見直し",IF(P150&lt;0.15,"低利益","通常"))))</x:f>
      </x:c>
      <x:c r="V150" s="99" t="str">
        <x:f>IF(U150="","",IF(U150="赤字",100,0)+IF(S150&gt;=90,50,0)+IF(P150&lt;0.15,30,0)+IF(E150&gt;=15,10,0))</x:f>
      </x:c>
      <x:c r="W150" s="101" t="str">
        <x:f>IF(U150="","",IF(U150="赤字","価格・原価・送料を再確認",IF(AND(S150&gt;=90,H150&lt;=2),"値下げ・再出品・仕入停止を検討",IF(P150&lt;0.15,"送料・手数料を見直す","継続観察"))))</x:f>
      </x:c>
    </x:row>
    <x:row r="151">
      <x:c r="A151" s="95"/>
      <x:c r="B151" s="95"/>
      <x:c r="C151" s="95"/>
      <x:c r="D151" s="95"/>
      <x:c r="E151" s="95"/>
      <x:c r="F151" s="96"/>
      <x:c r="G151" s="96"/>
      <x:c r="H151" s="95"/>
      <x:c r="I151" s="97"/>
      <x:c r="J151" s="97"/>
      <x:c r="K151" s="98"/>
      <x:c r="L151" s="97"/>
      <x:c r="M151" s="97"/>
      <x:c r="N151" s="99" t="str">
        <x:f>IF(OR(I151="",K151=""),"",I151*K151)</x:f>
      </x:c>
      <x:c r="O151" s="99" t="str">
        <x:f>IF(OR(I151="",J151="",N151="",L151="",M151=""),"",I151-J151-N151-L151-M151)</x:f>
      </x:c>
      <x:c r="P151" s="100" t="str">
        <x:f>IFERROR(O151/I151,"")</x:f>
      </x:c>
      <x:c r="Q151" s="99" t="str">
        <x:f>IF(OR(H151="",I151=""),"",H151*I151)</x:f>
      </x:c>
      <x:c r="R151" s="99" t="str">
        <x:f>IF(OR(H151="",O151=""),"",H151*O151)</x:f>
      </x:c>
      <x:c r="S151" s="99" t="str">
        <x:f>IF(G151="","",$B$2-G151)</x:f>
      </x:c>
      <x:c r="T151" s="99" t="str">
        <x:f>IF(S151="","",IF(S151&gt;=90,"90日以上",IF(S151&gt;=60,"60-89日","59日以下")))</x:f>
      </x:c>
      <x:c r="U151" s="99" t="str">
        <x:f>IF(O151="","",IF(O151&lt;0,"赤字",IF(AND(S151&gt;=90,H151&lt;=2),"要見直し",IF(P151&lt;0.15,"低利益","通常"))))</x:f>
      </x:c>
      <x:c r="V151" s="99" t="str">
        <x:f>IF(U151="","",IF(U151="赤字",100,0)+IF(S151&gt;=90,50,0)+IF(P151&lt;0.15,30,0)+IF(E151&gt;=15,10,0))</x:f>
      </x:c>
      <x:c r="W151" s="101" t="str">
        <x:f>IF(U151="","",IF(U151="赤字","価格・原価・送料を再確認",IF(AND(S151&gt;=90,H151&lt;=2),"値下げ・再出品・仕入停止を検討",IF(P151&lt;0.15,"送料・手数料を見直す","継続観察"))))</x:f>
      </x:c>
    </x:row>
    <x:row r="152">
      <x:c r="A152" s="95"/>
      <x:c r="B152" s="95"/>
      <x:c r="C152" s="95"/>
      <x:c r="D152" s="95"/>
      <x:c r="E152" s="95"/>
      <x:c r="F152" s="96"/>
      <x:c r="G152" s="96"/>
      <x:c r="H152" s="95"/>
      <x:c r="I152" s="97"/>
      <x:c r="J152" s="97"/>
      <x:c r="K152" s="98"/>
      <x:c r="L152" s="97"/>
      <x:c r="M152" s="97"/>
      <x:c r="N152" s="99" t="str">
        <x:f>IF(OR(I152="",K152=""),"",I152*K152)</x:f>
      </x:c>
      <x:c r="O152" s="99" t="str">
        <x:f>IF(OR(I152="",J152="",N152="",L152="",M152=""),"",I152-J152-N152-L152-M152)</x:f>
      </x:c>
      <x:c r="P152" s="100" t="str">
        <x:f>IFERROR(O152/I152,"")</x:f>
      </x:c>
      <x:c r="Q152" s="99" t="str">
        <x:f>IF(OR(H152="",I152=""),"",H152*I152)</x:f>
      </x:c>
      <x:c r="R152" s="99" t="str">
        <x:f>IF(OR(H152="",O152=""),"",H152*O152)</x:f>
      </x:c>
      <x:c r="S152" s="99" t="str">
        <x:f>IF(G152="","",$B$2-G152)</x:f>
      </x:c>
      <x:c r="T152" s="99" t="str">
        <x:f>IF(S152="","",IF(S152&gt;=90,"90日以上",IF(S152&gt;=60,"60-89日","59日以下")))</x:f>
      </x:c>
      <x:c r="U152" s="99" t="str">
        <x:f>IF(O152="","",IF(O152&lt;0,"赤字",IF(AND(S152&gt;=90,H152&lt;=2),"要見直し",IF(P152&lt;0.15,"低利益","通常"))))</x:f>
      </x:c>
      <x:c r="V152" s="99" t="str">
        <x:f>IF(U152="","",IF(U152="赤字",100,0)+IF(S152&gt;=90,50,0)+IF(P152&lt;0.15,30,0)+IF(E152&gt;=15,10,0))</x:f>
      </x:c>
      <x:c r="W152" s="101" t="str">
        <x:f>IF(U152="","",IF(U152="赤字","価格・原価・送料を再確認",IF(AND(S152&gt;=90,H152&lt;=2),"値下げ・再出品・仕入停止を検討",IF(P152&lt;0.15,"送料・手数料を見直す","継続観察"))))</x:f>
      </x:c>
    </x:row>
    <x:row r="153">
      <x:c r="A153" s="95"/>
      <x:c r="B153" s="95"/>
      <x:c r="C153" s="95"/>
      <x:c r="D153" s="95"/>
      <x:c r="E153" s="95"/>
      <x:c r="F153" s="96"/>
      <x:c r="G153" s="96"/>
      <x:c r="H153" s="95"/>
      <x:c r="I153" s="97"/>
      <x:c r="J153" s="97"/>
      <x:c r="K153" s="98"/>
      <x:c r="L153" s="97"/>
      <x:c r="M153" s="97"/>
      <x:c r="N153" s="99" t="str">
        <x:f>IF(OR(I153="",K153=""),"",I153*K153)</x:f>
      </x:c>
      <x:c r="O153" s="99" t="str">
        <x:f>IF(OR(I153="",J153="",N153="",L153="",M153=""),"",I153-J153-N153-L153-M153)</x:f>
      </x:c>
      <x:c r="P153" s="100" t="str">
        <x:f>IFERROR(O153/I153,"")</x:f>
      </x:c>
      <x:c r="Q153" s="99" t="str">
        <x:f>IF(OR(H153="",I153=""),"",H153*I153)</x:f>
      </x:c>
      <x:c r="R153" s="99" t="str">
        <x:f>IF(OR(H153="",O153=""),"",H153*O153)</x:f>
      </x:c>
      <x:c r="S153" s="99" t="str">
        <x:f>IF(G153="","",$B$2-G153)</x:f>
      </x:c>
      <x:c r="T153" s="99" t="str">
        <x:f>IF(S153="","",IF(S153&gt;=90,"90日以上",IF(S153&gt;=60,"60-89日","59日以下")))</x:f>
      </x:c>
      <x:c r="U153" s="99" t="str">
        <x:f>IF(O153="","",IF(O153&lt;0,"赤字",IF(AND(S153&gt;=90,H153&lt;=2),"要見直し",IF(P153&lt;0.15,"低利益","通常"))))</x:f>
      </x:c>
      <x:c r="V153" s="99" t="str">
        <x:f>IF(U153="","",IF(U153="赤字",100,0)+IF(S153&gt;=90,50,0)+IF(P153&lt;0.15,30,0)+IF(E153&gt;=15,10,0))</x:f>
      </x:c>
      <x:c r="W153" s="101" t="str">
        <x:f>IF(U153="","",IF(U153="赤字","価格・原価・送料を再確認",IF(AND(S153&gt;=90,H153&lt;=2),"値下げ・再出品・仕入停止を検討",IF(P153&lt;0.15,"送料・手数料を見直す","継続観察"))))</x:f>
      </x:c>
    </x:row>
    <x:row r="154">
      <x:c r="A154" s="95"/>
      <x:c r="B154" s="95"/>
      <x:c r="C154" s="95"/>
      <x:c r="D154" s="95"/>
      <x:c r="E154" s="95"/>
      <x:c r="F154" s="96"/>
      <x:c r="G154" s="96"/>
      <x:c r="H154" s="95"/>
      <x:c r="I154" s="97"/>
      <x:c r="J154" s="97"/>
      <x:c r="K154" s="98"/>
      <x:c r="L154" s="97"/>
      <x:c r="M154" s="97"/>
      <x:c r="N154" s="99" t="str">
        <x:f>IF(OR(I154="",K154=""),"",I154*K154)</x:f>
      </x:c>
      <x:c r="O154" s="99" t="str">
        <x:f>IF(OR(I154="",J154="",N154="",L154="",M154=""),"",I154-J154-N154-L154-M154)</x:f>
      </x:c>
      <x:c r="P154" s="100" t="str">
        <x:f>IFERROR(O154/I154,"")</x:f>
      </x:c>
      <x:c r="Q154" s="99" t="str">
        <x:f>IF(OR(H154="",I154=""),"",H154*I154)</x:f>
      </x:c>
      <x:c r="R154" s="99" t="str">
        <x:f>IF(OR(H154="",O154=""),"",H154*O154)</x:f>
      </x:c>
      <x:c r="S154" s="99" t="str">
        <x:f>IF(G154="","",$B$2-G154)</x:f>
      </x:c>
      <x:c r="T154" s="99" t="str">
        <x:f>IF(S154="","",IF(S154&gt;=90,"90日以上",IF(S154&gt;=60,"60-89日","59日以下")))</x:f>
      </x:c>
      <x:c r="U154" s="99" t="str">
        <x:f>IF(O154="","",IF(O154&lt;0,"赤字",IF(AND(S154&gt;=90,H154&lt;=2),"要見直し",IF(P154&lt;0.15,"低利益","通常"))))</x:f>
      </x:c>
      <x:c r="V154" s="99" t="str">
        <x:f>IF(U154="","",IF(U154="赤字",100,0)+IF(S154&gt;=90,50,0)+IF(P154&lt;0.15,30,0)+IF(E154&gt;=15,10,0))</x:f>
      </x:c>
      <x:c r="W154" s="101" t="str">
        <x:f>IF(U154="","",IF(U154="赤字","価格・原価・送料を再確認",IF(AND(S154&gt;=90,H154&lt;=2),"値下げ・再出品・仕入停止を検討",IF(P154&lt;0.15,"送料・手数料を見直す","継続観察"))))</x:f>
      </x:c>
    </x:row>
    <x:row r="155">
      <x:c r="A155" s="95"/>
      <x:c r="B155" s="95"/>
      <x:c r="C155" s="95"/>
      <x:c r="D155" s="95"/>
      <x:c r="E155" s="95"/>
      <x:c r="F155" s="96"/>
      <x:c r="G155" s="96"/>
      <x:c r="H155" s="95"/>
      <x:c r="I155" s="97"/>
      <x:c r="J155" s="97"/>
      <x:c r="K155" s="98"/>
      <x:c r="L155" s="97"/>
      <x:c r="M155" s="97"/>
      <x:c r="N155" s="99" t="str">
        <x:f>IF(OR(I155="",K155=""),"",I155*K155)</x:f>
      </x:c>
      <x:c r="O155" s="99" t="str">
        <x:f>IF(OR(I155="",J155="",N155="",L155="",M155=""),"",I155-J155-N155-L155-M155)</x:f>
      </x:c>
      <x:c r="P155" s="100" t="str">
        <x:f>IFERROR(O155/I155,"")</x:f>
      </x:c>
      <x:c r="Q155" s="99" t="str">
        <x:f>IF(OR(H155="",I155=""),"",H155*I155)</x:f>
      </x:c>
      <x:c r="R155" s="99" t="str">
        <x:f>IF(OR(H155="",O155=""),"",H155*O155)</x:f>
      </x:c>
      <x:c r="S155" s="99" t="str">
        <x:f>IF(G155="","",$B$2-G155)</x:f>
      </x:c>
      <x:c r="T155" s="99" t="str">
        <x:f>IF(S155="","",IF(S155&gt;=90,"90日以上",IF(S155&gt;=60,"60-89日","59日以下")))</x:f>
      </x:c>
      <x:c r="U155" s="99" t="str">
        <x:f>IF(O155="","",IF(O155&lt;0,"赤字",IF(AND(S155&gt;=90,H155&lt;=2),"要見直し",IF(P155&lt;0.15,"低利益","通常"))))</x:f>
      </x:c>
      <x:c r="V155" s="99" t="str">
        <x:f>IF(U155="","",IF(U155="赤字",100,0)+IF(S155&gt;=90,50,0)+IF(P155&lt;0.15,30,0)+IF(E155&gt;=15,10,0))</x:f>
      </x:c>
      <x:c r="W155" s="101" t="str">
        <x:f>IF(U155="","",IF(U155="赤字","価格・原価・送料を再確認",IF(AND(S155&gt;=90,H155&lt;=2),"値下げ・再出品・仕入停止を検討",IF(P155&lt;0.15,"送料・手数料を見直す","継続観察"))))</x:f>
      </x:c>
    </x:row>
    <x:row r="156">
      <x:c r="A156" s="95"/>
      <x:c r="B156" s="95"/>
      <x:c r="C156" s="95"/>
      <x:c r="D156" s="95"/>
      <x:c r="E156" s="95"/>
      <x:c r="F156" s="96"/>
      <x:c r="G156" s="96"/>
      <x:c r="H156" s="95"/>
      <x:c r="I156" s="97"/>
      <x:c r="J156" s="97"/>
      <x:c r="K156" s="98"/>
      <x:c r="L156" s="97"/>
      <x:c r="M156" s="97"/>
      <x:c r="N156" s="99" t="str">
        <x:f>IF(OR(I156="",K156=""),"",I156*K156)</x:f>
      </x:c>
      <x:c r="O156" s="99" t="str">
        <x:f>IF(OR(I156="",J156="",N156="",L156="",M156=""),"",I156-J156-N156-L156-M156)</x:f>
      </x:c>
      <x:c r="P156" s="100" t="str">
        <x:f>IFERROR(O156/I156,"")</x:f>
      </x:c>
      <x:c r="Q156" s="99" t="str">
        <x:f>IF(OR(H156="",I156=""),"",H156*I156)</x:f>
      </x:c>
      <x:c r="R156" s="99" t="str">
        <x:f>IF(OR(H156="",O156=""),"",H156*O156)</x:f>
      </x:c>
      <x:c r="S156" s="99" t="str">
        <x:f>IF(G156="","",$B$2-G156)</x:f>
      </x:c>
      <x:c r="T156" s="99" t="str">
        <x:f>IF(S156="","",IF(S156&gt;=90,"90日以上",IF(S156&gt;=60,"60-89日","59日以下")))</x:f>
      </x:c>
      <x:c r="U156" s="99" t="str">
        <x:f>IF(O156="","",IF(O156&lt;0,"赤字",IF(AND(S156&gt;=90,H156&lt;=2),"要見直し",IF(P156&lt;0.15,"低利益","通常"))))</x:f>
      </x:c>
      <x:c r="V156" s="99" t="str">
        <x:f>IF(U156="","",IF(U156="赤字",100,0)+IF(S156&gt;=90,50,0)+IF(P156&lt;0.15,30,0)+IF(E156&gt;=15,10,0))</x:f>
      </x:c>
      <x:c r="W156" s="101" t="str">
        <x:f>IF(U156="","",IF(U156="赤字","価格・原価・送料を再確認",IF(AND(S156&gt;=90,H156&lt;=2),"値下げ・再出品・仕入停止を検討",IF(P156&lt;0.15,"送料・手数料を見直す","継続観察"))))</x:f>
      </x:c>
    </x:row>
    <x:row r="157">
      <x:c r="A157" s="95"/>
      <x:c r="B157" s="95"/>
      <x:c r="C157" s="95"/>
      <x:c r="D157" s="95"/>
      <x:c r="E157" s="95"/>
      <x:c r="F157" s="96"/>
      <x:c r="G157" s="96"/>
      <x:c r="H157" s="95"/>
      <x:c r="I157" s="97"/>
      <x:c r="J157" s="97"/>
      <x:c r="K157" s="98"/>
      <x:c r="L157" s="97"/>
      <x:c r="M157" s="97"/>
      <x:c r="N157" s="99" t="str">
        <x:f>IF(OR(I157="",K157=""),"",I157*K157)</x:f>
      </x:c>
      <x:c r="O157" s="99" t="str">
        <x:f>IF(OR(I157="",J157="",N157="",L157="",M157=""),"",I157-J157-N157-L157-M157)</x:f>
      </x:c>
      <x:c r="P157" s="100" t="str">
        <x:f>IFERROR(O157/I157,"")</x:f>
      </x:c>
      <x:c r="Q157" s="99" t="str">
        <x:f>IF(OR(H157="",I157=""),"",H157*I157)</x:f>
      </x:c>
      <x:c r="R157" s="99" t="str">
        <x:f>IF(OR(H157="",O157=""),"",H157*O157)</x:f>
      </x:c>
      <x:c r="S157" s="99" t="str">
        <x:f>IF(G157="","",$B$2-G157)</x:f>
      </x:c>
      <x:c r="T157" s="99" t="str">
        <x:f>IF(S157="","",IF(S157&gt;=90,"90日以上",IF(S157&gt;=60,"60-89日","59日以下")))</x:f>
      </x:c>
      <x:c r="U157" s="99" t="str">
        <x:f>IF(O157="","",IF(O157&lt;0,"赤字",IF(AND(S157&gt;=90,H157&lt;=2),"要見直し",IF(P157&lt;0.15,"低利益","通常"))))</x:f>
      </x:c>
      <x:c r="V157" s="99" t="str">
        <x:f>IF(U157="","",IF(U157="赤字",100,0)+IF(S157&gt;=90,50,0)+IF(P157&lt;0.15,30,0)+IF(E157&gt;=15,10,0))</x:f>
      </x:c>
      <x:c r="W157" s="101" t="str">
        <x:f>IF(U157="","",IF(U157="赤字","価格・原価・送料を再確認",IF(AND(S157&gt;=90,H157&lt;=2),"値下げ・再出品・仕入停止を検討",IF(P157&lt;0.15,"送料・手数料を見直す","継続観察"))))</x:f>
      </x:c>
    </x:row>
    <x:row r="158">
      <x:c r="A158" s="95"/>
      <x:c r="B158" s="95"/>
      <x:c r="C158" s="95"/>
      <x:c r="D158" s="95"/>
      <x:c r="E158" s="95"/>
      <x:c r="F158" s="96"/>
      <x:c r="G158" s="96"/>
      <x:c r="H158" s="95"/>
      <x:c r="I158" s="97"/>
      <x:c r="J158" s="97"/>
      <x:c r="K158" s="98"/>
      <x:c r="L158" s="97"/>
      <x:c r="M158" s="97"/>
      <x:c r="N158" s="99" t="str">
        <x:f>IF(OR(I158="",K158=""),"",I158*K158)</x:f>
      </x:c>
      <x:c r="O158" s="99" t="str">
        <x:f>IF(OR(I158="",J158="",N158="",L158="",M158=""),"",I158-J158-N158-L158-M158)</x:f>
      </x:c>
      <x:c r="P158" s="100" t="str">
        <x:f>IFERROR(O158/I158,"")</x:f>
      </x:c>
      <x:c r="Q158" s="99" t="str">
        <x:f>IF(OR(H158="",I158=""),"",H158*I158)</x:f>
      </x:c>
      <x:c r="R158" s="99" t="str">
        <x:f>IF(OR(H158="",O158=""),"",H158*O158)</x:f>
      </x:c>
      <x:c r="S158" s="99" t="str">
        <x:f>IF(G158="","",$B$2-G158)</x:f>
      </x:c>
      <x:c r="T158" s="99" t="str">
        <x:f>IF(S158="","",IF(S158&gt;=90,"90日以上",IF(S158&gt;=60,"60-89日","59日以下")))</x:f>
      </x:c>
      <x:c r="U158" s="99" t="str">
        <x:f>IF(O158="","",IF(O158&lt;0,"赤字",IF(AND(S158&gt;=90,H158&lt;=2),"要見直し",IF(P158&lt;0.15,"低利益","通常"))))</x:f>
      </x:c>
      <x:c r="V158" s="99" t="str">
        <x:f>IF(U158="","",IF(U158="赤字",100,0)+IF(S158&gt;=90,50,0)+IF(P158&lt;0.15,30,0)+IF(E158&gt;=15,10,0))</x:f>
      </x:c>
      <x:c r="W158" s="101" t="str">
        <x:f>IF(U158="","",IF(U158="赤字","価格・原価・送料を再確認",IF(AND(S158&gt;=90,H158&lt;=2),"値下げ・再出品・仕入停止を検討",IF(P158&lt;0.15,"送料・手数料を見直す","継続観察"))))</x:f>
      </x:c>
    </x:row>
    <x:row r="159">
      <x:c r="A159" s="95"/>
      <x:c r="B159" s="95"/>
      <x:c r="C159" s="95"/>
      <x:c r="D159" s="95"/>
      <x:c r="E159" s="95"/>
      <x:c r="F159" s="96"/>
      <x:c r="G159" s="96"/>
      <x:c r="H159" s="95"/>
      <x:c r="I159" s="97"/>
      <x:c r="J159" s="97"/>
      <x:c r="K159" s="98"/>
      <x:c r="L159" s="97"/>
      <x:c r="M159" s="97"/>
      <x:c r="N159" s="99" t="str">
        <x:f>IF(OR(I159="",K159=""),"",I159*K159)</x:f>
      </x:c>
      <x:c r="O159" s="99" t="str">
        <x:f>IF(OR(I159="",J159="",N159="",L159="",M159=""),"",I159-J159-N159-L159-M159)</x:f>
      </x:c>
      <x:c r="P159" s="100" t="str">
        <x:f>IFERROR(O159/I159,"")</x:f>
      </x:c>
      <x:c r="Q159" s="99" t="str">
        <x:f>IF(OR(H159="",I159=""),"",H159*I159)</x:f>
      </x:c>
      <x:c r="R159" s="99" t="str">
        <x:f>IF(OR(H159="",O159=""),"",H159*O159)</x:f>
      </x:c>
      <x:c r="S159" s="99" t="str">
        <x:f>IF(G159="","",$B$2-G159)</x:f>
      </x:c>
      <x:c r="T159" s="99" t="str">
        <x:f>IF(S159="","",IF(S159&gt;=90,"90日以上",IF(S159&gt;=60,"60-89日","59日以下")))</x:f>
      </x:c>
      <x:c r="U159" s="99" t="str">
        <x:f>IF(O159="","",IF(O159&lt;0,"赤字",IF(AND(S159&gt;=90,H159&lt;=2),"要見直し",IF(P159&lt;0.15,"低利益","通常"))))</x:f>
      </x:c>
      <x:c r="V159" s="99" t="str">
        <x:f>IF(U159="","",IF(U159="赤字",100,0)+IF(S159&gt;=90,50,0)+IF(P159&lt;0.15,30,0)+IF(E159&gt;=15,10,0))</x:f>
      </x:c>
      <x:c r="W159" s="101" t="str">
        <x:f>IF(U159="","",IF(U159="赤字","価格・原価・送料を再確認",IF(AND(S159&gt;=90,H159&lt;=2),"値下げ・再出品・仕入停止を検討",IF(P159&lt;0.15,"送料・手数料を見直す","継続観察"))))</x:f>
      </x:c>
    </x:row>
    <x:row r="160">
      <x:c r="A160" s="95"/>
      <x:c r="B160" s="95"/>
      <x:c r="C160" s="95"/>
      <x:c r="D160" s="95"/>
      <x:c r="E160" s="95"/>
      <x:c r="F160" s="96"/>
      <x:c r="G160" s="96"/>
      <x:c r="H160" s="95"/>
      <x:c r="I160" s="97"/>
      <x:c r="J160" s="97"/>
      <x:c r="K160" s="98"/>
      <x:c r="L160" s="97"/>
      <x:c r="M160" s="97"/>
      <x:c r="N160" s="99" t="str">
        <x:f>IF(OR(I160="",K160=""),"",I160*K160)</x:f>
      </x:c>
      <x:c r="O160" s="99" t="str">
        <x:f>IF(OR(I160="",J160="",N160="",L160="",M160=""),"",I160-J160-N160-L160-M160)</x:f>
      </x:c>
      <x:c r="P160" s="100" t="str">
        <x:f>IFERROR(O160/I160,"")</x:f>
      </x:c>
      <x:c r="Q160" s="99" t="str">
        <x:f>IF(OR(H160="",I160=""),"",H160*I160)</x:f>
      </x:c>
      <x:c r="R160" s="99" t="str">
        <x:f>IF(OR(H160="",O160=""),"",H160*O160)</x:f>
      </x:c>
      <x:c r="S160" s="99" t="str">
        <x:f>IF(G160="","",$B$2-G160)</x:f>
      </x:c>
      <x:c r="T160" s="99" t="str">
        <x:f>IF(S160="","",IF(S160&gt;=90,"90日以上",IF(S160&gt;=60,"60-89日","59日以下")))</x:f>
      </x:c>
      <x:c r="U160" s="99" t="str">
        <x:f>IF(O160="","",IF(O160&lt;0,"赤字",IF(AND(S160&gt;=90,H160&lt;=2),"要見直し",IF(P160&lt;0.15,"低利益","通常"))))</x:f>
      </x:c>
      <x:c r="V160" s="99" t="str">
        <x:f>IF(U160="","",IF(U160="赤字",100,0)+IF(S160&gt;=90,50,0)+IF(P160&lt;0.15,30,0)+IF(E160&gt;=15,10,0))</x:f>
      </x:c>
      <x:c r="W160" s="101" t="str">
        <x:f>IF(U160="","",IF(U160="赤字","価格・原価・送料を再確認",IF(AND(S160&gt;=90,H160&lt;=2),"値下げ・再出品・仕入停止を検討",IF(P160&lt;0.15,"送料・手数料を見直す","継続観察"))))</x:f>
      </x:c>
    </x:row>
    <x:row r="161">
      <x:c r="A161" s="95"/>
      <x:c r="B161" s="95"/>
      <x:c r="C161" s="95"/>
      <x:c r="D161" s="95"/>
      <x:c r="E161" s="95"/>
      <x:c r="F161" s="96"/>
      <x:c r="G161" s="96"/>
      <x:c r="H161" s="95"/>
      <x:c r="I161" s="97"/>
      <x:c r="J161" s="97"/>
      <x:c r="K161" s="98"/>
      <x:c r="L161" s="97"/>
      <x:c r="M161" s="97"/>
      <x:c r="N161" s="99" t="str">
        <x:f>IF(OR(I161="",K161=""),"",I161*K161)</x:f>
      </x:c>
      <x:c r="O161" s="99" t="str">
        <x:f>IF(OR(I161="",J161="",N161="",L161="",M161=""),"",I161-J161-N161-L161-M161)</x:f>
      </x:c>
      <x:c r="P161" s="100" t="str">
        <x:f>IFERROR(O161/I161,"")</x:f>
      </x:c>
      <x:c r="Q161" s="99" t="str">
        <x:f>IF(OR(H161="",I161=""),"",H161*I161)</x:f>
      </x:c>
      <x:c r="R161" s="99" t="str">
        <x:f>IF(OR(H161="",O161=""),"",H161*O161)</x:f>
      </x:c>
      <x:c r="S161" s="99" t="str">
        <x:f>IF(G161="","",$B$2-G161)</x:f>
      </x:c>
      <x:c r="T161" s="99" t="str">
        <x:f>IF(S161="","",IF(S161&gt;=90,"90日以上",IF(S161&gt;=60,"60-89日","59日以下")))</x:f>
      </x:c>
      <x:c r="U161" s="99" t="str">
        <x:f>IF(O161="","",IF(O161&lt;0,"赤字",IF(AND(S161&gt;=90,H161&lt;=2),"要見直し",IF(P161&lt;0.15,"低利益","通常"))))</x:f>
      </x:c>
      <x:c r="V161" s="99" t="str">
        <x:f>IF(U161="","",IF(U161="赤字",100,0)+IF(S161&gt;=90,50,0)+IF(P161&lt;0.15,30,0)+IF(E161&gt;=15,10,0))</x:f>
      </x:c>
      <x:c r="W161" s="101" t="str">
        <x:f>IF(U161="","",IF(U161="赤字","価格・原価・送料を再確認",IF(AND(S161&gt;=90,H161&lt;=2),"値下げ・再出品・仕入停止を検討",IF(P161&lt;0.15,"送料・手数料を見直す","継続観察"))))</x:f>
      </x:c>
    </x:row>
    <x:row r="162">
      <x:c r="A162" s="95"/>
      <x:c r="B162" s="95"/>
      <x:c r="C162" s="95"/>
      <x:c r="D162" s="95"/>
      <x:c r="E162" s="95"/>
      <x:c r="F162" s="96"/>
      <x:c r="G162" s="96"/>
      <x:c r="H162" s="95"/>
      <x:c r="I162" s="97"/>
      <x:c r="J162" s="97"/>
      <x:c r="K162" s="98"/>
      <x:c r="L162" s="97"/>
      <x:c r="M162" s="97"/>
      <x:c r="N162" s="99" t="str">
        <x:f>IF(OR(I162="",K162=""),"",I162*K162)</x:f>
      </x:c>
      <x:c r="O162" s="99" t="str">
        <x:f>IF(OR(I162="",J162="",N162="",L162="",M162=""),"",I162-J162-N162-L162-M162)</x:f>
      </x:c>
      <x:c r="P162" s="100" t="str">
        <x:f>IFERROR(O162/I162,"")</x:f>
      </x:c>
      <x:c r="Q162" s="99" t="str">
        <x:f>IF(OR(H162="",I162=""),"",H162*I162)</x:f>
      </x:c>
      <x:c r="R162" s="99" t="str">
        <x:f>IF(OR(H162="",O162=""),"",H162*O162)</x:f>
      </x:c>
      <x:c r="S162" s="99" t="str">
        <x:f>IF(G162="","",$B$2-G162)</x:f>
      </x:c>
      <x:c r="T162" s="99" t="str">
        <x:f>IF(S162="","",IF(S162&gt;=90,"90日以上",IF(S162&gt;=60,"60-89日","59日以下")))</x:f>
      </x:c>
      <x:c r="U162" s="99" t="str">
        <x:f>IF(O162="","",IF(O162&lt;0,"赤字",IF(AND(S162&gt;=90,H162&lt;=2),"要見直し",IF(P162&lt;0.15,"低利益","通常"))))</x:f>
      </x:c>
      <x:c r="V162" s="99" t="str">
        <x:f>IF(U162="","",IF(U162="赤字",100,0)+IF(S162&gt;=90,50,0)+IF(P162&lt;0.15,30,0)+IF(E162&gt;=15,10,0))</x:f>
      </x:c>
      <x:c r="W162" s="101" t="str">
        <x:f>IF(U162="","",IF(U162="赤字","価格・原価・送料を再確認",IF(AND(S162&gt;=90,H162&lt;=2),"値下げ・再出品・仕入停止を検討",IF(P162&lt;0.15,"送料・手数料を見直す","継続観察"))))</x:f>
      </x:c>
    </x:row>
    <x:row r="163">
      <x:c r="A163" s="95"/>
      <x:c r="B163" s="95"/>
      <x:c r="C163" s="95"/>
      <x:c r="D163" s="95"/>
      <x:c r="E163" s="95"/>
      <x:c r="F163" s="96"/>
      <x:c r="G163" s="96"/>
      <x:c r="H163" s="95"/>
      <x:c r="I163" s="97"/>
      <x:c r="J163" s="97"/>
      <x:c r="K163" s="98"/>
      <x:c r="L163" s="97"/>
      <x:c r="M163" s="97"/>
      <x:c r="N163" s="99" t="str">
        <x:f>IF(OR(I163="",K163=""),"",I163*K163)</x:f>
      </x:c>
      <x:c r="O163" s="99" t="str">
        <x:f>IF(OR(I163="",J163="",N163="",L163="",M163=""),"",I163-J163-N163-L163-M163)</x:f>
      </x:c>
      <x:c r="P163" s="100" t="str">
        <x:f>IFERROR(O163/I163,"")</x:f>
      </x:c>
      <x:c r="Q163" s="99" t="str">
        <x:f>IF(OR(H163="",I163=""),"",H163*I163)</x:f>
      </x:c>
      <x:c r="R163" s="99" t="str">
        <x:f>IF(OR(H163="",O163=""),"",H163*O163)</x:f>
      </x:c>
      <x:c r="S163" s="99" t="str">
        <x:f>IF(G163="","",$B$2-G163)</x:f>
      </x:c>
      <x:c r="T163" s="99" t="str">
        <x:f>IF(S163="","",IF(S163&gt;=90,"90日以上",IF(S163&gt;=60,"60-89日","59日以下")))</x:f>
      </x:c>
      <x:c r="U163" s="99" t="str">
        <x:f>IF(O163="","",IF(O163&lt;0,"赤字",IF(AND(S163&gt;=90,H163&lt;=2),"要見直し",IF(P163&lt;0.15,"低利益","通常"))))</x:f>
      </x:c>
      <x:c r="V163" s="99" t="str">
        <x:f>IF(U163="","",IF(U163="赤字",100,0)+IF(S163&gt;=90,50,0)+IF(P163&lt;0.15,30,0)+IF(E163&gt;=15,10,0))</x:f>
      </x:c>
      <x:c r="W163" s="101" t="str">
        <x:f>IF(U163="","",IF(U163="赤字","価格・原価・送料を再確認",IF(AND(S163&gt;=90,H163&lt;=2),"値下げ・再出品・仕入停止を検討",IF(P163&lt;0.15,"送料・手数料を見直す","継続観察"))))</x:f>
      </x:c>
    </x:row>
    <x:row r="164">
      <x:c r="A164" s="95"/>
      <x:c r="B164" s="95"/>
      <x:c r="C164" s="95"/>
      <x:c r="D164" s="95"/>
      <x:c r="E164" s="95"/>
      <x:c r="F164" s="96"/>
      <x:c r="G164" s="96"/>
      <x:c r="H164" s="95"/>
      <x:c r="I164" s="97"/>
      <x:c r="J164" s="97"/>
      <x:c r="K164" s="98"/>
      <x:c r="L164" s="97"/>
      <x:c r="M164" s="97"/>
      <x:c r="N164" s="99" t="str">
        <x:f>IF(OR(I164="",K164=""),"",I164*K164)</x:f>
      </x:c>
      <x:c r="O164" s="99" t="str">
        <x:f>IF(OR(I164="",J164="",N164="",L164="",M164=""),"",I164-J164-N164-L164-M164)</x:f>
      </x:c>
      <x:c r="P164" s="100" t="str">
        <x:f>IFERROR(O164/I164,"")</x:f>
      </x:c>
      <x:c r="Q164" s="99" t="str">
        <x:f>IF(OR(H164="",I164=""),"",H164*I164)</x:f>
      </x:c>
      <x:c r="R164" s="99" t="str">
        <x:f>IF(OR(H164="",O164=""),"",H164*O164)</x:f>
      </x:c>
      <x:c r="S164" s="99" t="str">
        <x:f>IF(G164="","",$B$2-G164)</x:f>
      </x:c>
      <x:c r="T164" s="99" t="str">
        <x:f>IF(S164="","",IF(S164&gt;=90,"90日以上",IF(S164&gt;=60,"60-89日","59日以下")))</x:f>
      </x:c>
      <x:c r="U164" s="99" t="str">
        <x:f>IF(O164="","",IF(O164&lt;0,"赤字",IF(AND(S164&gt;=90,H164&lt;=2),"要見直し",IF(P164&lt;0.15,"低利益","通常"))))</x:f>
      </x:c>
      <x:c r="V164" s="99" t="str">
        <x:f>IF(U164="","",IF(U164="赤字",100,0)+IF(S164&gt;=90,50,0)+IF(P164&lt;0.15,30,0)+IF(E164&gt;=15,10,0))</x:f>
      </x:c>
      <x:c r="W164" s="101" t="str">
        <x:f>IF(U164="","",IF(U164="赤字","価格・原価・送料を再確認",IF(AND(S164&gt;=90,H164&lt;=2),"値下げ・再出品・仕入停止を検討",IF(P164&lt;0.15,"送料・手数料を見直す","継続観察"))))</x:f>
      </x:c>
    </x:row>
    <x:row r="165">
      <x:c r="A165" s="95"/>
      <x:c r="B165" s="95"/>
      <x:c r="C165" s="95"/>
      <x:c r="D165" s="95"/>
      <x:c r="E165" s="95"/>
      <x:c r="F165" s="96"/>
      <x:c r="G165" s="96"/>
      <x:c r="H165" s="95"/>
      <x:c r="I165" s="97"/>
      <x:c r="J165" s="97"/>
      <x:c r="K165" s="98"/>
      <x:c r="L165" s="97"/>
      <x:c r="M165" s="97"/>
      <x:c r="N165" s="99" t="str">
        <x:f>IF(OR(I165="",K165=""),"",I165*K165)</x:f>
      </x:c>
      <x:c r="O165" s="99" t="str">
        <x:f>IF(OR(I165="",J165="",N165="",L165="",M165=""),"",I165-J165-N165-L165-M165)</x:f>
      </x:c>
      <x:c r="P165" s="100" t="str">
        <x:f>IFERROR(O165/I165,"")</x:f>
      </x:c>
      <x:c r="Q165" s="99" t="str">
        <x:f>IF(OR(H165="",I165=""),"",H165*I165)</x:f>
      </x:c>
      <x:c r="R165" s="99" t="str">
        <x:f>IF(OR(H165="",O165=""),"",H165*O165)</x:f>
      </x:c>
      <x:c r="S165" s="99" t="str">
        <x:f>IF(G165="","",$B$2-G165)</x:f>
      </x:c>
      <x:c r="T165" s="99" t="str">
        <x:f>IF(S165="","",IF(S165&gt;=90,"90日以上",IF(S165&gt;=60,"60-89日","59日以下")))</x:f>
      </x:c>
      <x:c r="U165" s="99" t="str">
        <x:f>IF(O165="","",IF(O165&lt;0,"赤字",IF(AND(S165&gt;=90,H165&lt;=2),"要見直し",IF(P165&lt;0.15,"低利益","通常"))))</x:f>
      </x:c>
      <x:c r="V165" s="99" t="str">
        <x:f>IF(U165="","",IF(U165="赤字",100,0)+IF(S165&gt;=90,50,0)+IF(P165&lt;0.15,30,0)+IF(E165&gt;=15,10,0))</x:f>
      </x:c>
      <x:c r="W165" s="101" t="str">
        <x:f>IF(U165="","",IF(U165="赤字","価格・原価・送料を再確認",IF(AND(S165&gt;=90,H165&lt;=2),"値下げ・再出品・仕入停止を検討",IF(P165&lt;0.15,"送料・手数料を見直す","継続観察"))))</x:f>
      </x:c>
    </x:row>
    <x:row r="166">
      <x:c r="A166" s="95"/>
      <x:c r="B166" s="95"/>
      <x:c r="C166" s="95"/>
      <x:c r="D166" s="95"/>
      <x:c r="E166" s="95"/>
      <x:c r="F166" s="96"/>
      <x:c r="G166" s="96"/>
      <x:c r="H166" s="95"/>
      <x:c r="I166" s="97"/>
      <x:c r="J166" s="97"/>
      <x:c r="K166" s="98"/>
      <x:c r="L166" s="97"/>
      <x:c r="M166" s="97"/>
      <x:c r="N166" s="99" t="str">
        <x:f>IF(OR(I166="",K166=""),"",I166*K166)</x:f>
      </x:c>
      <x:c r="O166" s="99" t="str">
        <x:f>IF(OR(I166="",J166="",N166="",L166="",M166=""),"",I166-J166-N166-L166-M166)</x:f>
      </x:c>
      <x:c r="P166" s="100" t="str">
        <x:f>IFERROR(O166/I166,"")</x:f>
      </x:c>
      <x:c r="Q166" s="99" t="str">
        <x:f>IF(OR(H166="",I166=""),"",H166*I166)</x:f>
      </x:c>
      <x:c r="R166" s="99" t="str">
        <x:f>IF(OR(H166="",O166=""),"",H166*O166)</x:f>
      </x:c>
      <x:c r="S166" s="99" t="str">
        <x:f>IF(G166="","",$B$2-G166)</x:f>
      </x:c>
      <x:c r="T166" s="99" t="str">
        <x:f>IF(S166="","",IF(S166&gt;=90,"90日以上",IF(S166&gt;=60,"60-89日","59日以下")))</x:f>
      </x:c>
      <x:c r="U166" s="99" t="str">
        <x:f>IF(O166="","",IF(O166&lt;0,"赤字",IF(AND(S166&gt;=90,H166&lt;=2),"要見直し",IF(P166&lt;0.15,"低利益","通常"))))</x:f>
      </x:c>
      <x:c r="V166" s="99" t="str">
        <x:f>IF(U166="","",IF(U166="赤字",100,0)+IF(S166&gt;=90,50,0)+IF(P166&lt;0.15,30,0)+IF(E166&gt;=15,10,0))</x:f>
      </x:c>
      <x:c r="W166" s="101" t="str">
        <x:f>IF(U166="","",IF(U166="赤字","価格・原価・送料を再確認",IF(AND(S166&gt;=90,H166&lt;=2),"値下げ・再出品・仕入停止を検討",IF(P166&lt;0.15,"送料・手数料を見直す","継続観察"))))</x:f>
      </x:c>
    </x:row>
    <x:row r="167">
      <x:c r="A167" s="95"/>
      <x:c r="B167" s="95"/>
      <x:c r="C167" s="95"/>
      <x:c r="D167" s="95"/>
      <x:c r="E167" s="95"/>
      <x:c r="F167" s="96"/>
      <x:c r="G167" s="96"/>
      <x:c r="H167" s="95"/>
      <x:c r="I167" s="97"/>
      <x:c r="J167" s="97"/>
      <x:c r="K167" s="98"/>
      <x:c r="L167" s="97"/>
      <x:c r="M167" s="97"/>
      <x:c r="N167" s="99" t="str">
        <x:f>IF(OR(I167="",K167=""),"",I167*K167)</x:f>
      </x:c>
      <x:c r="O167" s="99" t="str">
        <x:f>IF(OR(I167="",J167="",N167="",L167="",M167=""),"",I167-J167-N167-L167-M167)</x:f>
      </x:c>
      <x:c r="P167" s="100" t="str">
        <x:f>IFERROR(O167/I167,"")</x:f>
      </x:c>
      <x:c r="Q167" s="99" t="str">
        <x:f>IF(OR(H167="",I167=""),"",H167*I167)</x:f>
      </x:c>
      <x:c r="R167" s="99" t="str">
        <x:f>IF(OR(H167="",O167=""),"",H167*O167)</x:f>
      </x:c>
      <x:c r="S167" s="99" t="str">
        <x:f>IF(G167="","",$B$2-G167)</x:f>
      </x:c>
      <x:c r="T167" s="99" t="str">
        <x:f>IF(S167="","",IF(S167&gt;=90,"90日以上",IF(S167&gt;=60,"60-89日","59日以下")))</x:f>
      </x:c>
      <x:c r="U167" s="99" t="str">
        <x:f>IF(O167="","",IF(O167&lt;0,"赤字",IF(AND(S167&gt;=90,H167&lt;=2),"要見直し",IF(P167&lt;0.15,"低利益","通常"))))</x:f>
      </x:c>
      <x:c r="V167" s="99" t="str">
        <x:f>IF(U167="","",IF(U167="赤字",100,0)+IF(S167&gt;=90,50,0)+IF(P167&lt;0.15,30,0)+IF(E167&gt;=15,10,0))</x:f>
      </x:c>
      <x:c r="W167" s="101" t="str">
        <x:f>IF(U167="","",IF(U167="赤字","価格・原価・送料を再確認",IF(AND(S167&gt;=90,H167&lt;=2),"値下げ・再出品・仕入停止を検討",IF(P167&lt;0.15,"送料・手数料を見直す","継続観察"))))</x:f>
      </x:c>
    </x:row>
    <x:row r="168">
      <x:c r="A168" s="95"/>
      <x:c r="B168" s="95"/>
      <x:c r="C168" s="95"/>
      <x:c r="D168" s="95"/>
      <x:c r="E168" s="95"/>
      <x:c r="F168" s="96"/>
      <x:c r="G168" s="96"/>
      <x:c r="H168" s="95"/>
      <x:c r="I168" s="97"/>
      <x:c r="J168" s="97"/>
      <x:c r="K168" s="98"/>
      <x:c r="L168" s="97"/>
      <x:c r="M168" s="97"/>
      <x:c r="N168" s="99" t="str">
        <x:f>IF(OR(I168="",K168=""),"",I168*K168)</x:f>
      </x:c>
      <x:c r="O168" s="99" t="str">
        <x:f>IF(OR(I168="",J168="",N168="",L168="",M168=""),"",I168-J168-N168-L168-M168)</x:f>
      </x:c>
      <x:c r="P168" s="100" t="str">
        <x:f>IFERROR(O168/I168,"")</x:f>
      </x:c>
      <x:c r="Q168" s="99" t="str">
        <x:f>IF(OR(H168="",I168=""),"",H168*I168)</x:f>
      </x:c>
      <x:c r="R168" s="99" t="str">
        <x:f>IF(OR(H168="",O168=""),"",H168*O168)</x:f>
      </x:c>
      <x:c r="S168" s="99" t="str">
        <x:f>IF(G168="","",$B$2-G168)</x:f>
      </x:c>
      <x:c r="T168" s="99" t="str">
        <x:f>IF(S168="","",IF(S168&gt;=90,"90日以上",IF(S168&gt;=60,"60-89日","59日以下")))</x:f>
      </x:c>
      <x:c r="U168" s="99" t="str">
        <x:f>IF(O168="","",IF(O168&lt;0,"赤字",IF(AND(S168&gt;=90,H168&lt;=2),"要見直し",IF(P168&lt;0.15,"低利益","通常"))))</x:f>
      </x:c>
      <x:c r="V168" s="99" t="str">
        <x:f>IF(U168="","",IF(U168="赤字",100,0)+IF(S168&gt;=90,50,0)+IF(P168&lt;0.15,30,0)+IF(E168&gt;=15,10,0))</x:f>
      </x:c>
      <x:c r="W168" s="101" t="str">
        <x:f>IF(U168="","",IF(U168="赤字","価格・原価・送料を再確認",IF(AND(S168&gt;=90,H168&lt;=2),"値下げ・再出品・仕入停止を検討",IF(P168&lt;0.15,"送料・手数料を見直す","継続観察"))))</x:f>
      </x:c>
    </x:row>
    <x:row r="169">
      <x:c r="A169" s="95"/>
      <x:c r="B169" s="95"/>
      <x:c r="C169" s="95"/>
      <x:c r="D169" s="95"/>
      <x:c r="E169" s="95"/>
      <x:c r="F169" s="96"/>
      <x:c r="G169" s="96"/>
      <x:c r="H169" s="95"/>
      <x:c r="I169" s="97"/>
      <x:c r="J169" s="97"/>
      <x:c r="K169" s="98"/>
      <x:c r="L169" s="97"/>
      <x:c r="M169" s="97"/>
      <x:c r="N169" s="99" t="str">
        <x:f>IF(OR(I169="",K169=""),"",I169*K169)</x:f>
      </x:c>
      <x:c r="O169" s="99" t="str">
        <x:f>IF(OR(I169="",J169="",N169="",L169="",M169=""),"",I169-J169-N169-L169-M169)</x:f>
      </x:c>
      <x:c r="P169" s="100" t="str">
        <x:f>IFERROR(O169/I169,"")</x:f>
      </x:c>
      <x:c r="Q169" s="99" t="str">
        <x:f>IF(OR(H169="",I169=""),"",H169*I169)</x:f>
      </x:c>
      <x:c r="R169" s="99" t="str">
        <x:f>IF(OR(H169="",O169=""),"",H169*O169)</x:f>
      </x:c>
      <x:c r="S169" s="99" t="str">
        <x:f>IF(G169="","",$B$2-G169)</x:f>
      </x:c>
      <x:c r="T169" s="99" t="str">
        <x:f>IF(S169="","",IF(S169&gt;=90,"90日以上",IF(S169&gt;=60,"60-89日","59日以下")))</x:f>
      </x:c>
      <x:c r="U169" s="99" t="str">
        <x:f>IF(O169="","",IF(O169&lt;0,"赤字",IF(AND(S169&gt;=90,H169&lt;=2),"要見直し",IF(P169&lt;0.15,"低利益","通常"))))</x:f>
      </x:c>
      <x:c r="V169" s="99" t="str">
        <x:f>IF(U169="","",IF(U169="赤字",100,0)+IF(S169&gt;=90,50,0)+IF(P169&lt;0.15,30,0)+IF(E169&gt;=15,10,0))</x:f>
      </x:c>
      <x:c r="W169" s="101" t="str">
        <x:f>IF(U169="","",IF(U169="赤字","価格・原価・送料を再確認",IF(AND(S169&gt;=90,H169&lt;=2),"値下げ・再出品・仕入停止を検討",IF(P169&lt;0.15,"送料・手数料を見直す","継続観察"))))</x:f>
      </x:c>
    </x:row>
    <x:row r="170">
      <x:c r="A170" s="95"/>
      <x:c r="B170" s="95"/>
      <x:c r="C170" s="95"/>
      <x:c r="D170" s="95"/>
      <x:c r="E170" s="95"/>
      <x:c r="F170" s="96"/>
      <x:c r="G170" s="96"/>
      <x:c r="H170" s="95"/>
      <x:c r="I170" s="97"/>
      <x:c r="J170" s="97"/>
      <x:c r="K170" s="98"/>
      <x:c r="L170" s="97"/>
      <x:c r="M170" s="97"/>
      <x:c r="N170" s="99" t="str">
        <x:f>IF(OR(I170="",K170=""),"",I170*K170)</x:f>
      </x:c>
      <x:c r="O170" s="99" t="str">
        <x:f>IF(OR(I170="",J170="",N170="",L170="",M170=""),"",I170-J170-N170-L170-M170)</x:f>
      </x:c>
      <x:c r="P170" s="100" t="str">
        <x:f>IFERROR(O170/I170,"")</x:f>
      </x:c>
      <x:c r="Q170" s="99" t="str">
        <x:f>IF(OR(H170="",I170=""),"",H170*I170)</x:f>
      </x:c>
      <x:c r="R170" s="99" t="str">
        <x:f>IF(OR(H170="",O170=""),"",H170*O170)</x:f>
      </x:c>
      <x:c r="S170" s="99" t="str">
        <x:f>IF(G170="","",$B$2-G170)</x:f>
      </x:c>
      <x:c r="T170" s="99" t="str">
        <x:f>IF(S170="","",IF(S170&gt;=90,"90日以上",IF(S170&gt;=60,"60-89日","59日以下")))</x:f>
      </x:c>
      <x:c r="U170" s="99" t="str">
        <x:f>IF(O170="","",IF(O170&lt;0,"赤字",IF(AND(S170&gt;=90,H170&lt;=2),"要見直し",IF(P170&lt;0.15,"低利益","通常"))))</x:f>
      </x:c>
      <x:c r="V170" s="99" t="str">
        <x:f>IF(U170="","",IF(U170="赤字",100,0)+IF(S170&gt;=90,50,0)+IF(P170&lt;0.15,30,0)+IF(E170&gt;=15,10,0))</x:f>
      </x:c>
      <x:c r="W170" s="101" t="str">
        <x:f>IF(U170="","",IF(U170="赤字","価格・原価・送料を再確認",IF(AND(S170&gt;=90,H170&lt;=2),"値下げ・再出品・仕入停止を検討",IF(P170&lt;0.15,"送料・手数料を見直す","継続観察"))))</x:f>
      </x:c>
    </x:row>
    <x:row r="171">
      <x:c r="A171" s="95"/>
      <x:c r="B171" s="95"/>
      <x:c r="C171" s="95"/>
      <x:c r="D171" s="95"/>
      <x:c r="E171" s="95"/>
      <x:c r="F171" s="96"/>
      <x:c r="G171" s="96"/>
      <x:c r="H171" s="95"/>
      <x:c r="I171" s="97"/>
      <x:c r="J171" s="97"/>
      <x:c r="K171" s="98"/>
      <x:c r="L171" s="97"/>
      <x:c r="M171" s="97"/>
      <x:c r="N171" s="99" t="str">
        <x:f>IF(OR(I171="",K171=""),"",I171*K171)</x:f>
      </x:c>
      <x:c r="O171" s="99" t="str">
        <x:f>IF(OR(I171="",J171="",N171="",L171="",M171=""),"",I171-J171-N171-L171-M171)</x:f>
      </x:c>
      <x:c r="P171" s="100" t="str">
        <x:f>IFERROR(O171/I171,"")</x:f>
      </x:c>
      <x:c r="Q171" s="99" t="str">
        <x:f>IF(OR(H171="",I171=""),"",H171*I171)</x:f>
      </x:c>
      <x:c r="R171" s="99" t="str">
        <x:f>IF(OR(H171="",O171=""),"",H171*O171)</x:f>
      </x:c>
      <x:c r="S171" s="99" t="str">
        <x:f>IF(G171="","",$B$2-G171)</x:f>
      </x:c>
      <x:c r="T171" s="99" t="str">
        <x:f>IF(S171="","",IF(S171&gt;=90,"90日以上",IF(S171&gt;=60,"60-89日","59日以下")))</x:f>
      </x:c>
      <x:c r="U171" s="99" t="str">
        <x:f>IF(O171="","",IF(O171&lt;0,"赤字",IF(AND(S171&gt;=90,H171&lt;=2),"要見直し",IF(P171&lt;0.15,"低利益","通常"))))</x:f>
      </x:c>
      <x:c r="V171" s="99" t="str">
        <x:f>IF(U171="","",IF(U171="赤字",100,0)+IF(S171&gt;=90,50,0)+IF(P171&lt;0.15,30,0)+IF(E171&gt;=15,10,0))</x:f>
      </x:c>
      <x:c r="W171" s="101" t="str">
        <x:f>IF(U171="","",IF(U171="赤字","価格・原価・送料を再確認",IF(AND(S171&gt;=90,H171&lt;=2),"値下げ・再出品・仕入停止を検討",IF(P171&lt;0.15,"送料・手数料を見直す","継続観察"))))</x:f>
      </x:c>
    </x:row>
    <x:row r="172">
      <x:c r="A172" s="95"/>
      <x:c r="B172" s="95"/>
      <x:c r="C172" s="95"/>
      <x:c r="D172" s="95"/>
      <x:c r="E172" s="95"/>
      <x:c r="F172" s="96"/>
      <x:c r="G172" s="96"/>
      <x:c r="H172" s="95"/>
      <x:c r="I172" s="97"/>
      <x:c r="J172" s="97"/>
      <x:c r="K172" s="98"/>
      <x:c r="L172" s="97"/>
      <x:c r="M172" s="97"/>
      <x:c r="N172" s="99" t="str">
        <x:f>IF(OR(I172="",K172=""),"",I172*K172)</x:f>
      </x:c>
      <x:c r="O172" s="99" t="str">
        <x:f>IF(OR(I172="",J172="",N172="",L172="",M172=""),"",I172-J172-N172-L172-M172)</x:f>
      </x:c>
      <x:c r="P172" s="100" t="str">
        <x:f>IFERROR(O172/I172,"")</x:f>
      </x:c>
      <x:c r="Q172" s="99" t="str">
        <x:f>IF(OR(H172="",I172=""),"",H172*I172)</x:f>
      </x:c>
      <x:c r="R172" s="99" t="str">
        <x:f>IF(OR(H172="",O172=""),"",H172*O172)</x:f>
      </x:c>
      <x:c r="S172" s="99" t="str">
        <x:f>IF(G172="","",$B$2-G172)</x:f>
      </x:c>
      <x:c r="T172" s="99" t="str">
        <x:f>IF(S172="","",IF(S172&gt;=90,"90日以上",IF(S172&gt;=60,"60-89日","59日以下")))</x:f>
      </x:c>
      <x:c r="U172" s="99" t="str">
        <x:f>IF(O172="","",IF(O172&lt;0,"赤字",IF(AND(S172&gt;=90,H172&lt;=2),"要見直し",IF(P172&lt;0.15,"低利益","通常"))))</x:f>
      </x:c>
      <x:c r="V172" s="99" t="str">
        <x:f>IF(U172="","",IF(U172="赤字",100,0)+IF(S172&gt;=90,50,0)+IF(P172&lt;0.15,30,0)+IF(E172&gt;=15,10,0))</x:f>
      </x:c>
      <x:c r="W172" s="101" t="str">
        <x:f>IF(U172="","",IF(U172="赤字","価格・原価・送料を再確認",IF(AND(S172&gt;=90,H172&lt;=2),"値下げ・再出品・仕入停止を検討",IF(P172&lt;0.15,"送料・手数料を見直す","継続観察"))))</x:f>
      </x:c>
    </x:row>
    <x:row r="173">
      <x:c r="A173" s="95"/>
      <x:c r="B173" s="95"/>
      <x:c r="C173" s="95"/>
      <x:c r="D173" s="95"/>
      <x:c r="E173" s="95"/>
      <x:c r="F173" s="96"/>
      <x:c r="G173" s="96"/>
      <x:c r="H173" s="95"/>
      <x:c r="I173" s="97"/>
      <x:c r="J173" s="97"/>
      <x:c r="K173" s="98"/>
      <x:c r="L173" s="97"/>
      <x:c r="M173" s="97"/>
      <x:c r="N173" s="99" t="str">
        <x:f>IF(OR(I173="",K173=""),"",I173*K173)</x:f>
      </x:c>
      <x:c r="O173" s="99" t="str">
        <x:f>IF(OR(I173="",J173="",N173="",L173="",M173=""),"",I173-J173-N173-L173-M173)</x:f>
      </x:c>
      <x:c r="P173" s="100" t="str">
        <x:f>IFERROR(O173/I173,"")</x:f>
      </x:c>
      <x:c r="Q173" s="99" t="str">
        <x:f>IF(OR(H173="",I173=""),"",H173*I173)</x:f>
      </x:c>
      <x:c r="R173" s="99" t="str">
        <x:f>IF(OR(H173="",O173=""),"",H173*O173)</x:f>
      </x:c>
      <x:c r="S173" s="99" t="str">
        <x:f>IF(G173="","",$B$2-G173)</x:f>
      </x:c>
      <x:c r="T173" s="99" t="str">
        <x:f>IF(S173="","",IF(S173&gt;=90,"90日以上",IF(S173&gt;=60,"60-89日","59日以下")))</x:f>
      </x:c>
      <x:c r="U173" s="99" t="str">
        <x:f>IF(O173="","",IF(O173&lt;0,"赤字",IF(AND(S173&gt;=90,H173&lt;=2),"要見直し",IF(P173&lt;0.15,"低利益","通常"))))</x:f>
      </x:c>
      <x:c r="V173" s="99" t="str">
        <x:f>IF(U173="","",IF(U173="赤字",100,0)+IF(S173&gt;=90,50,0)+IF(P173&lt;0.15,30,0)+IF(E173&gt;=15,10,0))</x:f>
      </x:c>
      <x:c r="W173" s="101" t="str">
        <x:f>IF(U173="","",IF(U173="赤字","価格・原価・送料を再確認",IF(AND(S173&gt;=90,H173&lt;=2),"値下げ・再出品・仕入停止を検討",IF(P173&lt;0.15,"送料・手数料を見直す","継続観察"))))</x:f>
      </x:c>
    </x:row>
    <x:row r="174">
      <x:c r="A174" s="95"/>
      <x:c r="B174" s="95"/>
      <x:c r="C174" s="95"/>
      <x:c r="D174" s="95"/>
      <x:c r="E174" s="95"/>
      <x:c r="F174" s="96"/>
      <x:c r="G174" s="96"/>
      <x:c r="H174" s="95"/>
      <x:c r="I174" s="97"/>
      <x:c r="J174" s="97"/>
      <x:c r="K174" s="98"/>
      <x:c r="L174" s="97"/>
      <x:c r="M174" s="97"/>
      <x:c r="N174" s="99" t="str">
        <x:f>IF(OR(I174="",K174=""),"",I174*K174)</x:f>
      </x:c>
      <x:c r="O174" s="99" t="str">
        <x:f>IF(OR(I174="",J174="",N174="",L174="",M174=""),"",I174-J174-N174-L174-M174)</x:f>
      </x:c>
      <x:c r="P174" s="100" t="str">
        <x:f>IFERROR(O174/I174,"")</x:f>
      </x:c>
      <x:c r="Q174" s="99" t="str">
        <x:f>IF(OR(H174="",I174=""),"",H174*I174)</x:f>
      </x:c>
      <x:c r="R174" s="99" t="str">
        <x:f>IF(OR(H174="",O174=""),"",H174*O174)</x:f>
      </x:c>
      <x:c r="S174" s="99" t="str">
        <x:f>IF(G174="","",$B$2-G174)</x:f>
      </x:c>
      <x:c r="T174" s="99" t="str">
        <x:f>IF(S174="","",IF(S174&gt;=90,"90日以上",IF(S174&gt;=60,"60-89日","59日以下")))</x:f>
      </x:c>
      <x:c r="U174" s="99" t="str">
        <x:f>IF(O174="","",IF(O174&lt;0,"赤字",IF(AND(S174&gt;=90,H174&lt;=2),"要見直し",IF(P174&lt;0.15,"低利益","通常"))))</x:f>
      </x:c>
      <x:c r="V174" s="99" t="str">
        <x:f>IF(U174="","",IF(U174="赤字",100,0)+IF(S174&gt;=90,50,0)+IF(P174&lt;0.15,30,0)+IF(E174&gt;=15,10,0))</x:f>
      </x:c>
      <x:c r="W174" s="101" t="str">
        <x:f>IF(U174="","",IF(U174="赤字","価格・原価・送料を再確認",IF(AND(S174&gt;=90,H174&lt;=2),"値下げ・再出品・仕入停止を検討",IF(P174&lt;0.15,"送料・手数料を見直す","継続観察"))))</x:f>
      </x:c>
    </x:row>
    <x:row r="175">
      <x:c r="A175" s="95"/>
      <x:c r="B175" s="95"/>
      <x:c r="C175" s="95"/>
      <x:c r="D175" s="95"/>
      <x:c r="E175" s="95"/>
      <x:c r="F175" s="96"/>
      <x:c r="G175" s="96"/>
      <x:c r="H175" s="95"/>
      <x:c r="I175" s="97"/>
      <x:c r="J175" s="97"/>
      <x:c r="K175" s="98"/>
      <x:c r="L175" s="97"/>
      <x:c r="M175" s="97"/>
      <x:c r="N175" s="99" t="str">
        <x:f>IF(OR(I175="",K175=""),"",I175*K175)</x:f>
      </x:c>
      <x:c r="O175" s="99" t="str">
        <x:f>IF(OR(I175="",J175="",N175="",L175="",M175=""),"",I175-J175-N175-L175-M175)</x:f>
      </x:c>
      <x:c r="P175" s="100" t="str">
        <x:f>IFERROR(O175/I175,"")</x:f>
      </x:c>
      <x:c r="Q175" s="99" t="str">
        <x:f>IF(OR(H175="",I175=""),"",H175*I175)</x:f>
      </x:c>
      <x:c r="R175" s="99" t="str">
        <x:f>IF(OR(H175="",O175=""),"",H175*O175)</x:f>
      </x:c>
      <x:c r="S175" s="99" t="str">
        <x:f>IF(G175="","",$B$2-G175)</x:f>
      </x:c>
      <x:c r="T175" s="99" t="str">
        <x:f>IF(S175="","",IF(S175&gt;=90,"90日以上",IF(S175&gt;=60,"60-89日","59日以下")))</x:f>
      </x:c>
      <x:c r="U175" s="99" t="str">
        <x:f>IF(O175="","",IF(O175&lt;0,"赤字",IF(AND(S175&gt;=90,H175&lt;=2),"要見直し",IF(P175&lt;0.15,"低利益","通常"))))</x:f>
      </x:c>
      <x:c r="V175" s="99" t="str">
        <x:f>IF(U175="","",IF(U175="赤字",100,0)+IF(S175&gt;=90,50,0)+IF(P175&lt;0.15,30,0)+IF(E175&gt;=15,10,0))</x:f>
      </x:c>
      <x:c r="W175" s="101" t="str">
        <x:f>IF(U175="","",IF(U175="赤字","価格・原価・送料を再確認",IF(AND(S175&gt;=90,H175&lt;=2),"値下げ・再出品・仕入停止を検討",IF(P175&lt;0.15,"送料・手数料を見直す","継続観察"))))</x:f>
      </x:c>
    </x:row>
    <x:row r="176">
      <x:c r="A176" s="95"/>
      <x:c r="B176" s="95"/>
      <x:c r="C176" s="95"/>
      <x:c r="D176" s="95"/>
      <x:c r="E176" s="95"/>
      <x:c r="F176" s="96"/>
      <x:c r="G176" s="96"/>
      <x:c r="H176" s="95"/>
      <x:c r="I176" s="97"/>
      <x:c r="J176" s="97"/>
      <x:c r="K176" s="98"/>
      <x:c r="L176" s="97"/>
      <x:c r="M176" s="97"/>
      <x:c r="N176" s="99" t="str">
        <x:f>IF(OR(I176="",K176=""),"",I176*K176)</x:f>
      </x:c>
      <x:c r="O176" s="99" t="str">
        <x:f>IF(OR(I176="",J176="",N176="",L176="",M176=""),"",I176-J176-N176-L176-M176)</x:f>
      </x:c>
      <x:c r="P176" s="100" t="str">
        <x:f>IFERROR(O176/I176,"")</x:f>
      </x:c>
      <x:c r="Q176" s="99" t="str">
        <x:f>IF(OR(H176="",I176=""),"",H176*I176)</x:f>
      </x:c>
      <x:c r="R176" s="99" t="str">
        <x:f>IF(OR(H176="",O176=""),"",H176*O176)</x:f>
      </x:c>
      <x:c r="S176" s="99" t="str">
        <x:f>IF(G176="","",$B$2-G176)</x:f>
      </x:c>
      <x:c r="T176" s="99" t="str">
        <x:f>IF(S176="","",IF(S176&gt;=90,"90日以上",IF(S176&gt;=60,"60-89日","59日以下")))</x:f>
      </x:c>
      <x:c r="U176" s="99" t="str">
        <x:f>IF(O176="","",IF(O176&lt;0,"赤字",IF(AND(S176&gt;=90,H176&lt;=2),"要見直し",IF(P176&lt;0.15,"低利益","通常"))))</x:f>
      </x:c>
      <x:c r="V176" s="99" t="str">
        <x:f>IF(U176="","",IF(U176="赤字",100,0)+IF(S176&gt;=90,50,0)+IF(P176&lt;0.15,30,0)+IF(E176&gt;=15,10,0))</x:f>
      </x:c>
      <x:c r="W176" s="101" t="str">
        <x:f>IF(U176="","",IF(U176="赤字","価格・原価・送料を再確認",IF(AND(S176&gt;=90,H176&lt;=2),"値下げ・再出品・仕入停止を検討",IF(P176&lt;0.15,"送料・手数料を見直す","継続観察"))))</x:f>
      </x:c>
    </x:row>
    <x:row r="177">
      <x:c r="A177" s="95"/>
      <x:c r="B177" s="95"/>
      <x:c r="C177" s="95"/>
      <x:c r="D177" s="95"/>
      <x:c r="E177" s="95"/>
      <x:c r="F177" s="96"/>
      <x:c r="G177" s="96"/>
      <x:c r="H177" s="95"/>
      <x:c r="I177" s="97"/>
      <x:c r="J177" s="97"/>
      <x:c r="K177" s="98"/>
      <x:c r="L177" s="97"/>
      <x:c r="M177" s="97"/>
      <x:c r="N177" s="99" t="str">
        <x:f>IF(OR(I177="",K177=""),"",I177*K177)</x:f>
      </x:c>
      <x:c r="O177" s="99" t="str">
        <x:f>IF(OR(I177="",J177="",N177="",L177="",M177=""),"",I177-J177-N177-L177-M177)</x:f>
      </x:c>
      <x:c r="P177" s="100" t="str">
        <x:f>IFERROR(O177/I177,"")</x:f>
      </x:c>
      <x:c r="Q177" s="99" t="str">
        <x:f>IF(OR(H177="",I177=""),"",H177*I177)</x:f>
      </x:c>
      <x:c r="R177" s="99" t="str">
        <x:f>IF(OR(H177="",O177=""),"",H177*O177)</x:f>
      </x:c>
      <x:c r="S177" s="99" t="str">
        <x:f>IF(G177="","",$B$2-G177)</x:f>
      </x:c>
      <x:c r="T177" s="99" t="str">
        <x:f>IF(S177="","",IF(S177&gt;=90,"90日以上",IF(S177&gt;=60,"60-89日","59日以下")))</x:f>
      </x:c>
      <x:c r="U177" s="99" t="str">
        <x:f>IF(O177="","",IF(O177&lt;0,"赤字",IF(AND(S177&gt;=90,H177&lt;=2),"要見直し",IF(P177&lt;0.15,"低利益","通常"))))</x:f>
      </x:c>
      <x:c r="V177" s="99" t="str">
        <x:f>IF(U177="","",IF(U177="赤字",100,0)+IF(S177&gt;=90,50,0)+IF(P177&lt;0.15,30,0)+IF(E177&gt;=15,10,0))</x:f>
      </x:c>
      <x:c r="W177" s="101" t="str">
        <x:f>IF(U177="","",IF(U177="赤字","価格・原価・送料を再確認",IF(AND(S177&gt;=90,H177&lt;=2),"値下げ・再出品・仕入停止を検討",IF(P177&lt;0.15,"送料・手数料を見直す","継続観察"))))</x:f>
      </x:c>
    </x:row>
    <x:row r="178">
      <x:c r="A178" s="95"/>
      <x:c r="B178" s="95"/>
      <x:c r="C178" s="95"/>
      <x:c r="D178" s="95"/>
      <x:c r="E178" s="95"/>
      <x:c r="F178" s="96"/>
      <x:c r="G178" s="96"/>
      <x:c r="H178" s="95"/>
      <x:c r="I178" s="97"/>
      <x:c r="J178" s="97"/>
      <x:c r="K178" s="98"/>
      <x:c r="L178" s="97"/>
      <x:c r="M178" s="97"/>
      <x:c r="N178" s="99" t="str">
        <x:f>IF(OR(I178="",K178=""),"",I178*K178)</x:f>
      </x:c>
      <x:c r="O178" s="99" t="str">
        <x:f>IF(OR(I178="",J178="",N178="",L178="",M178=""),"",I178-J178-N178-L178-M178)</x:f>
      </x:c>
      <x:c r="P178" s="100" t="str">
        <x:f>IFERROR(O178/I178,"")</x:f>
      </x:c>
      <x:c r="Q178" s="99" t="str">
        <x:f>IF(OR(H178="",I178=""),"",H178*I178)</x:f>
      </x:c>
      <x:c r="R178" s="99" t="str">
        <x:f>IF(OR(H178="",O178=""),"",H178*O178)</x:f>
      </x:c>
      <x:c r="S178" s="99" t="str">
        <x:f>IF(G178="","",$B$2-G178)</x:f>
      </x:c>
      <x:c r="T178" s="99" t="str">
        <x:f>IF(S178="","",IF(S178&gt;=90,"90日以上",IF(S178&gt;=60,"60-89日","59日以下")))</x:f>
      </x:c>
      <x:c r="U178" s="99" t="str">
        <x:f>IF(O178="","",IF(O178&lt;0,"赤字",IF(AND(S178&gt;=90,H178&lt;=2),"要見直し",IF(P178&lt;0.15,"低利益","通常"))))</x:f>
      </x:c>
      <x:c r="V178" s="99" t="str">
        <x:f>IF(U178="","",IF(U178="赤字",100,0)+IF(S178&gt;=90,50,0)+IF(P178&lt;0.15,30,0)+IF(E178&gt;=15,10,0))</x:f>
      </x:c>
      <x:c r="W178" s="101" t="str">
        <x:f>IF(U178="","",IF(U178="赤字","価格・原価・送料を再確認",IF(AND(S178&gt;=90,H178&lt;=2),"値下げ・再出品・仕入停止を検討",IF(P178&lt;0.15,"送料・手数料を見直す","継続観察"))))</x:f>
      </x:c>
    </x:row>
    <x:row r="179">
      <x:c r="A179" s="95"/>
      <x:c r="B179" s="95"/>
      <x:c r="C179" s="95"/>
      <x:c r="D179" s="95"/>
      <x:c r="E179" s="95"/>
      <x:c r="F179" s="96"/>
      <x:c r="G179" s="96"/>
      <x:c r="H179" s="95"/>
      <x:c r="I179" s="97"/>
      <x:c r="J179" s="97"/>
      <x:c r="K179" s="98"/>
      <x:c r="L179" s="97"/>
      <x:c r="M179" s="97"/>
      <x:c r="N179" s="99" t="str">
        <x:f>IF(OR(I179="",K179=""),"",I179*K179)</x:f>
      </x:c>
      <x:c r="O179" s="99" t="str">
        <x:f>IF(OR(I179="",J179="",N179="",L179="",M179=""),"",I179-J179-N179-L179-M179)</x:f>
      </x:c>
      <x:c r="P179" s="100" t="str">
        <x:f>IFERROR(O179/I179,"")</x:f>
      </x:c>
      <x:c r="Q179" s="99" t="str">
        <x:f>IF(OR(H179="",I179=""),"",H179*I179)</x:f>
      </x:c>
      <x:c r="R179" s="99" t="str">
        <x:f>IF(OR(H179="",O179=""),"",H179*O179)</x:f>
      </x:c>
      <x:c r="S179" s="99" t="str">
        <x:f>IF(G179="","",$B$2-G179)</x:f>
      </x:c>
      <x:c r="T179" s="99" t="str">
        <x:f>IF(S179="","",IF(S179&gt;=90,"90日以上",IF(S179&gt;=60,"60-89日","59日以下")))</x:f>
      </x:c>
      <x:c r="U179" s="99" t="str">
        <x:f>IF(O179="","",IF(O179&lt;0,"赤字",IF(AND(S179&gt;=90,H179&lt;=2),"要見直し",IF(P179&lt;0.15,"低利益","通常"))))</x:f>
      </x:c>
      <x:c r="V179" s="99" t="str">
        <x:f>IF(U179="","",IF(U179="赤字",100,0)+IF(S179&gt;=90,50,0)+IF(P179&lt;0.15,30,0)+IF(E179&gt;=15,10,0))</x:f>
      </x:c>
      <x:c r="W179" s="101" t="str">
        <x:f>IF(U179="","",IF(U179="赤字","価格・原価・送料を再確認",IF(AND(S179&gt;=90,H179&lt;=2),"値下げ・再出品・仕入停止を検討",IF(P179&lt;0.15,"送料・手数料を見直す","継続観察"))))</x:f>
      </x:c>
    </x:row>
    <x:row r="180">
      <x:c r="A180" s="95"/>
      <x:c r="B180" s="95"/>
      <x:c r="C180" s="95"/>
      <x:c r="D180" s="95"/>
      <x:c r="E180" s="95"/>
      <x:c r="F180" s="96"/>
      <x:c r="G180" s="96"/>
      <x:c r="H180" s="95"/>
      <x:c r="I180" s="97"/>
      <x:c r="J180" s="97"/>
      <x:c r="K180" s="98"/>
      <x:c r="L180" s="97"/>
      <x:c r="M180" s="97"/>
      <x:c r="N180" s="99" t="str">
        <x:f>IF(OR(I180="",K180=""),"",I180*K180)</x:f>
      </x:c>
      <x:c r="O180" s="99" t="str">
        <x:f>IF(OR(I180="",J180="",N180="",L180="",M180=""),"",I180-J180-N180-L180-M180)</x:f>
      </x:c>
      <x:c r="P180" s="100" t="str">
        <x:f>IFERROR(O180/I180,"")</x:f>
      </x:c>
      <x:c r="Q180" s="99" t="str">
        <x:f>IF(OR(H180="",I180=""),"",H180*I180)</x:f>
      </x:c>
      <x:c r="R180" s="99" t="str">
        <x:f>IF(OR(H180="",O180=""),"",H180*O180)</x:f>
      </x:c>
      <x:c r="S180" s="99" t="str">
        <x:f>IF(G180="","",$B$2-G180)</x:f>
      </x:c>
      <x:c r="T180" s="99" t="str">
        <x:f>IF(S180="","",IF(S180&gt;=90,"90日以上",IF(S180&gt;=60,"60-89日","59日以下")))</x:f>
      </x:c>
      <x:c r="U180" s="99" t="str">
        <x:f>IF(O180="","",IF(O180&lt;0,"赤字",IF(AND(S180&gt;=90,H180&lt;=2),"要見直し",IF(P180&lt;0.15,"低利益","通常"))))</x:f>
      </x:c>
      <x:c r="V180" s="99" t="str">
        <x:f>IF(U180="","",IF(U180="赤字",100,0)+IF(S180&gt;=90,50,0)+IF(P180&lt;0.15,30,0)+IF(E180&gt;=15,10,0))</x:f>
      </x:c>
      <x:c r="W180" s="101" t="str">
        <x:f>IF(U180="","",IF(U180="赤字","価格・原価・送料を再確認",IF(AND(S180&gt;=90,H180&lt;=2),"値下げ・再出品・仕入停止を検討",IF(P180&lt;0.15,"送料・手数料を見直す","継続観察"))))</x:f>
      </x:c>
    </x:row>
    <x:row r="181">
      <x:c r="A181" s="95"/>
      <x:c r="B181" s="95"/>
      <x:c r="C181" s="95"/>
      <x:c r="D181" s="95"/>
      <x:c r="E181" s="95"/>
      <x:c r="F181" s="96"/>
      <x:c r="G181" s="96"/>
      <x:c r="H181" s="95"/>
      <x:c r="I181" s="97"/>
      <x:c r="J181" s="97"/>
      <x:c r="K181" s="98"/>
      <x:c r="L181" s="97"/>
      <x:c r="M181" s="97"/>
      <x:c r="N181" s="99" t="str">
        <x:f>IF(OR(I181="",K181=""),"",I181*K181)</x:f>
      </x:c>
      <x:c r="O181" s="99" t="str">
        <x:f>IF(OR(I181="",J181="",N181="",L181="",M181=""),"",I181-J181-N181-L181-M181)</x:f>
      </x:c>
      <x:c r="P181" s="100" t="str">
        <x:f>IFERROR(O181/I181,"")</x:f>
      </x:c>
      <x:c r="Q181" s="99" t="str">
        <x:f>IF(OR(H181="",I181=""),"",H181*I181)</x:f>
      </x:c>
      <x:c r="R181" s="99" t="str">
        <x:f>IF(OR(H181="",O181=""),"",H181*O181)</x:f>
      </x:c>
      <x:c r="S181" s="99" t="str">
        <x:f>IF(G181="","",$B$2-G181)</x:f>
      </x:c>
      <x:c r="T181" s="99" t="str">
        <x:f>IF(S181="","",IF(S181&gt;=90,"90日以上",IF(S181&gt;=60,"60-89日","59日以下")))</x:f>
      </x:c>
      <x:c r="U181" s="99" t="str">
        <x:f>IF(O181="","",IF(O181&lt;0,"赤字",IF(AND(S181&gt;=90,H181&lt;=2),"要見直し",IF(P181&lt;0.15,"低利益","通常"))))</x:f>
      </x:c>
      <x:c r="V181" s="99" t="str">
        <x:f>IF(U181="","",IF(U181="赤字",100,0)+IF(S181&gt;=90,50,0)+IF(P181&lt;0.15,30,0)+IF(E181&gt;=15,10,0))</x:f>
      </x:c>
      <x:c r="W181" s="101" t="str">
        <x:f>IF(U181="","",IF(U181="赤字","価格・原価・送料を再確認",IF(AND(S181&gt;=90,H181&lt;=2),"値下げ・再出品・仕入停止を検討",IF(P181&lt;0.15,"送料・手数料を見直す","継続観察"))))</x:f>
      </x:c>
    </x:row>
    <x:row r="182">
      <x:c r="A182" s="95"/>
      <x:c r="B182" s="95"/>
      <x:c r="C182" s="95"/>
      <x:c r="D182" s="95"/>
      <x:c r="E182" s="95"/>
      <x:c r="F182" s="96"/>
      <x:c r="G182" s="96"/>
      <x:c r="H182" s="95"/>
      <x:c r="I182" s="97"/>
      <x:c r="J182" s="97"/>
      <x:c r="K182" s="98"/>
      <x:c r="L182" s="97"/>
      <x:c r="M182" s="97"/>
      <x:c r="N182" s="99" t="str">
        <x:f>IF(OR(I182="",K182=""),"",I182*K182)</x:f>
      </x:c>
      <x:c r="O182" s="99" t="str">
        <x:f>IF(OR(I182="",J182="",N182="",L182="",M182=""),"",I182-J182-N182-L182-M182)</x:f>
      </x:c>
      <x:c r="P182" s="100" t="str">
        <x:f>IFERROR(O182/I182,"")</x:f>
      </x:c>
      <x:c r="Q182" s="99" t="str">
        <x:f>IF(OR(H182="",I182=""),"",H182*I182)</x:f>
      </x:c>
      <x:c r="R182" s="99" t="str">
        <x:f>IF(OR(H182="",O182=""),"",H182*O182)</x:f>
      </x:c>
      <x:c r="S182" s="99" t="str">
        <x:f>IF(G182="","",$B$2-G182)</x:f>
      </x:c>
      <x:c r="T182" s="99" t="str">
        <x:f>IF(S182="","",IF(S182&gt;=90,"90日以上",IF(S182&gt;=60,"60-89日","59日以下")))</x:f>
      </x:c>
      <x:c r="U182" s="99" t="str">
        <x:f>IF(O182="","",IF(O182&lt;0,"赤字",IF(AND(S182&gt;=90,H182&lt;=2),"要見直し",IF(P182&lt;0.15,"低利益","通常"))))</x:f>
      </x:c>
      <x:c r="V182" s="99" t="str">
        <x:f>IF(U182="","",IF(U182="赤字",100,0)+IF(S182&gt;=90,50,0)+IF(P182&lt;0.15,30,0)+IF(E182&gt;=15,10,0))</x:f>
      </x:c>
      <x:c r="W182" s="101" t="str">
        <x:f>IF(U182="","",IF(U182="赤字","価格・原価・送料を再確認",IF(AND(S182&gt;=90,H182&lt;=2),"値下げ・再出品・仕入停止を検討",IF(P182&lt;0.15,"送料・手数料を見直す","継続観察"))))</x:f>
      </x:c>
    </x:row>
    <x:row r="183">
      <x:c r="A183" s="95"/>
      <x:c r="B183" s="95"/>
      <x:c r="C183" s="95"/>
      <x:c r="D183" s="95"/>
      <x:c r="E183" s="95"/>
      <x:c r="F183" s="96"/>
      <x:c r="G183" s="96"/>
      <x:c r="H183" s="95"/>
      <x:c r="I183" s="97"/>
      <x:c r="J183" s="97"/>
      <x:c r="K183" s="98"/>
      <x:c r="L183" s="97"/>
      <x:c r="M183" s="97"/>
      <x:c r="N183" s="99" t="str">
        <x:f>IF(OR(I183="",K183=""),"",I183*K183)</x:f>
      </x:c>
      <x:c r="O183" s="99" t="str">
        <x:f>IF(OR(I183="",J183="",N183="",L183="",M183=""),"",I183-J183-N183-L183-M183)</x:f>
      </x:c>
      <x:c r="P183" s="100" t="str">
        <x:f>IFERROR(O183/I183,"")</x:f>
      </x:c>
      <x:c r="Q183" s="99" t="str">
        <x:f>IF(OR(H183="",I183=""),"",H183*I183)</x:f>
      </x:c>
      <x:c r="R183" s="99" t="str">
        <x:f>IF(OR(H183="",O183=""),"",H183*O183)</x:f>
      </x:c>
      <x:c r="S183" s="99" t="str">
        <x:f>IF(G183="","",$B$2-G183)</x:f>
      </x:c>
      <x:c r="T183" s="99" t="str">
        <x:f>IF(S183="","",IF(S183&gt;=90,"90日以上",IF(S183&gt;=60,"60-89日","59日以下")))</x:f>
      </x:c>
      <x:c r="U183" s="99" t="str">
        <x:f>IF(O183="","",IF(O183&lt;0,"赤字",IF(AND(S183&gt;=90,H183&lt;=2),"要見直し",IF(P183&lt;0.15,"低利益","通常"))))</x:f>
      </x:c>
      <x:c r="V183" s="99" t="str">
        <x:f>IF(U183="","",IF(U183="赤字",100,0)+IF(S183&gt;=90,50,0)+IF(P183&lt;0.15,30,0)+IF(E183&gt;=15,10,0))</x:f>
      </x:c>
      <x:c r="W183" s="101" t="str">
        <x:f>IF(U183="","",IF(U183="赤字","価格・原価・送料を再確認",IF(AND(S183&gt;=90,H183&lt;=2),"値下げ・再出品・仕入停止を検討",IF(P183&lt;0.15,"送料・手数料を見直す","継続観察"))))</x:f>
      </x:c>
    </x:row>
    <x:row r="184">
      <x:c r="A184" s="95"/>
      <x:c r="B184" s="95"/>
      <x:c r="C184" s="95"/>
      <x:c r="D184" s="95"/>
      <x:c r="E184" s="95"/>
      <x:c r="F184" s="96"/>
      <x:c r="G184" s="96"/>
      <x:c r="H184" s="95"/>
      <x:c r="I184" s="97"/>
      <x:c r="J184" s="97"/>
      <x:c r="K184" s="98"/>
      <x:c r="L184" s="97"/>
      <x:c r="M184" s="97"/>
      <x:c r="N184" s="99" t="str">
        <x:f>IF(OR(I184="",K184=""),"",I184*K184)</x:f>
      </x:c>
      <x:c r="O184" s="99" t="str">
        <x:f>IF(OR(I184="",J184="",N184="",L184="",M184=""),"",I184-J184-N184-L184-M184)</x:f>
      </x:c>
      <x:c r="P184" s="100" t="str">
        <x:f>IFERROR(O184/I184,"")</x:f>
      </x:c>
      <x:c r="Q184" s="99" t="str">
        <x:f>IF(OR(H184="",I184=""),"",H184*I184)</x:f>
      </x:c>
      <x:c r="R184" s="99" t="str">
        <x:f>IF(OR(H184="",O184=""),"",H184*O184)</x:f>
      </x:c>
      <x:c r="S184" s="99" t="str">
        <x:f>IF(G184="","",$B$2-G184)</x:f>
      </x:c>
      <x:c r="T184" s="99" t="str">
        <x:f>IF(S184="","",IF(S184&gt;=90,"90日以上",IF(S184&gt;=60,"60-89日","59日以下")))</x:f>
      </x:c>
      <x:c r="U184" s="99" t="str">
        <x:f>IF(O184="","",IF(O184&lt;0,"赤字",IF(AND(S184&gt;=90,H184&lt;=2),"要見直し",IF(P184&lt;0.15,"低利益","通常"))))</x:f>
      </x:c>
      <x:c r="V184" s="99" t="str">
        <x:f>IF(U184="","",IF(U184="赤字",100,0)+IF(S184&gt;=90,50,0)+IF(P184&lt;0.15,30,0)+IF(E184&gt;=15,10,0))</x:f>
      </x:c>
      <x:c r="W184" s="101" t="str">
        <x:f>IF(U184="","",IF(U184="赤字","価格・原価・送料を再確認",IF(AND(S184&gt;=90,H184&lt;=2),"値下げ・再出品・仕入停止を検討",IF(P184&lt;0.15,"送料・手数料を見直す","継続観察"))))</x:f>
      </x:c>
    </x:row>
    <x:row r="185">
      <x:c r="A185" s="95"/>
      <x:c r="B185" s="95"/>
      <x:c r="C185" s="95"/>
      <x:c r="D185" s="95"/>
      <x:c r="E185" s="95"/>
      <x:c r="F185" s="96"/>
      <x:c r="G185" s="96"/>
      <x:c r="H185" s="95"/>
      <x:c r="I185" s="97"/>
      <x:c r="J185" s="97"/>
      <x:c r="K185" s="98"/>
      <x:c r="L185" s="97"/>
      <x:c r="M185" s="97"/>
      <x:c r="N185" s="99" t="str">
        <x:f>IF(OR(I185="",K185=""),"",I185*K185)</x:f>
      </x:c>
      <x:c r="O185" s="99" t="str">
        <x:f>IF(OR(I185="",J185="",N185="",L185="",M185=""),"",I185-J185-N185-L185-M185)</x:f>
      </x:c>
      <x:c r="P185" s="100" t="str">
        <x:f>IFERROR(O185/I185,"")</x:f>
      </x:c>
      <x:c r="Q185" s="99" t="str">
        <x:f>IF(OR(H185="",I185=""),"",H185*I185)</x:f>
      </x:c>
      <x:c r="R185" s="99" t="str">
        <x:f>IF(OR(H185="",O185=""),"",H185*O185)</x:f>
      </x:c>
      <x:c r="S185" s="99" t="str">
        <x:f>IF(G185="","",$B$2-G185)</x:f>
      </x:c>
      <x:c r="T185" s="99" t="str">
        <x:f>IF(S185="","",IF(S185&gt;=90,"90日以上",IF(S185&gt;=60,"60-89日","59日以下")))</x:f>
      </x:c>
      <x:c r="U185" s="99" t="str">
        <x:f>IF(O185="","",IF(O185&lt;0,"赤字",IF(AND(S185&gt;=90,H185&lt;=2),"要見直し",IF(P185&lt;0.15,"低利益","通常"))))</x:f>
      </x:c>
      <x:c r="V185" s="99" t="str">
        <x:f>IF(U185="","",IF(U185="赤字",100,0)+IF(S185&gt;=90,50,0)+IF(P185&lt;0.15,30,0)+IF(E185&gt;=15,10,0))</x:f>
      </x:c>
      <x:c r="W185" s="101" t="str">
        <x:f>IF(U185="","",IF(U185="赤字","価格・原価・送料を再確認",IF(AND(S185&gt;=90,H185&lt;=2),"値下げ・再出品・仕入停止を検討",IF(P185&lt;0.15,"送料・手数料を見直す","継続観察"))))</x:f>
      </x:c>
    </x:row>
    <x:row r="186">
      <x:c r="A186" s="95"/>
      <x:c r="B186" s="95"/>
      <x:c r="C186" s="95"/>
      <x:c r="D186" s="95"/>
      <x:c r="E186" s="95"/>
      <x:c r="F186" s="96"/>
      <x:c r="G186" s="96"/>
      <x:c r="H186" s="95"/>
      <x:c r="I186" s="97"/>
      <x:c r="J186" s="97"/>
      <x:c r="K186" s="98"/>
      <x:c r="L186" s="97"/>
      <x:c r="M186" s="97"/>
      <x:c r="N186" s="99" t="str">
        <x:f>IF(OR(I186="",K186=""),"",I186*K186)</x:f>
      </x:c>
      <x:c r="O186" s="99" t="str">
        <x:f>IF(OR(I186="",J186="",N186="",L186="",M186=""),"",I186-J186-N186-L186-M186)</x:f>
      </x:c>
      <x:c r="P186" s="100" t="str">
        <x:f>IFERROR(O186/I186,"")</x:f>
      </x:c>
      <x:c r="Q186" s="99" t="str">
        <x:f>IF(OR(H186="",I186=""),"",H186*I186)</x:f>
      </x:c>
      <x:c r="R186" s="99" t="str">
        <x:f>IF(OR(H186="",O186=""),"",H186*O186)</x:f>
      </x:c>
      <x:c r="S186" s="99" t="str">
        <x:f>IF(G186="","",$B$2-G186)</x:f>
      </x:c>
      <x:c r="T186" s="99" t="str">
        <x:f>IF(S186="","",IF(S186&gt;=90,"90日以上",IF(S186&gt;=60,"60-89日","59日以下")))</x:f>
      </x:c>
      <x:c r="U186" s="99" t="str">
        <x:f>IF(O186="","",IF(O186&lt;0,"赤字",IF(AND(S186&gt;=90,H186&lt;=2),"要見直し",IF(P186&lt;0.15,"低利益","通常"))))</x:f>
      </x:c>
      <x:c r="V186" s="99" t="str">
        <x:f>IF(U186="","",IF(U186="赤字",100,0)+IF(S186&gt;=90,50,0)+IF(P186&lt;0.15,30,0)+IF(E186&gt;=15,10,0))</x:f>
      </x:c>
      <x:c r="W186" s="101" t="str">
        <x:f>IF(U186="","",IF(U186="赤字","価格・原価・送料を再確認",IF(AND(S186&gt;=90,H186&lt;=2),"値下げ・再出品・仕入停止を検討",IF(P186&lt;0.15,"送料・手数料を見直す","継続観察"))))</x:f>
      </x:c>
    </x:row>
    <x:row r="187">
      <x:c r="A187" s="95"/>
      <x:c r="B187" s="95"/>
      <x:c r="C187" s="95"/>
      <x:c r="D187" s="95"/>
      <x:c r="E187" s="95"/>
      <x:c r="F187" s="96"/>
      <x:c r="G187" s="96"/>
      <x:c r="H187" s="95"/>
      <x:c r="I187" s="97"/>
      <x:c r="J187" s="97"/>
      <x:c r="K187" s="98"/>
      <x:c r="L187" s="97"/>
      <x:c r="M187" s="97"/>
      <x:c r="N187" s="99" t="str">
        <x:f>IF(OR(I187="",K187=""),"",I187*K187)</x:f>
      </x:c>
      <x:c r="O187" s="99" t="str">
        <x:f>IF(OR(I187="",J187="",N187="",L187="",M187=""),"",I187-J187-N187-L187-M187)</x:f>
      </x:c>
      <x:c r="P187" s="100" t="str">
        <x:f>IFERROR(O187/I187,"")</x:f>
      </x:c>
      <x:c r="Q187" s="99" t="str">
        <x:f>IF(OR(H187="",I187=""),"",H187*I187)</x:f>
      </x:c>
      <x:c r="R187" s="99" t="str">
        <x:f>IF(OR(H187="",O187=""),"",H187*O187)</x:f>
      </x:c>
      <x:c r="S187" s="99" t="str">
        <x:f>IF(G187="","",$B$2-G187)</x:f>
      </x:c>
      <x:c r="T187" s="99" t="str">
        <x:f>IF(S187="","",IF(S187&gt;=90,"90日以上",IF(S187&gt;=60,"60-89日","59日以下")))</x:f>
      </x:c>
      <x:c r="U187" s="99" t="str">
        <x:f>IF(O187="","",IF(O187&lt;0,"赤字",IF(AND(S187&gt;=90,H187&lt;=2),"要見直し",IF(P187&lt;0.15,"低利益","通常"))))</x:f>
      </x:c>
      <x:c r="V187" s="99" t="str">
        <x:f>IF(U187="","",IF(U187="赤字",100,0)+IF(S187&gt;=90,50,0)+IF(P187&lt;0.15,30,0)+IF(E187&gt;=15,10,0))</x:f>
      </x:c>
      <x:c r="W187" s="101" t="str">
        <x:f>IF(U187="","",IF(U187="赤字","価格・原価・送料を再確認",IF(AND(S187&gt;=90,H187&lt;=2),"値下げ・再出品・仕入停止を検討",IF(P187&lt;0.15,"送料・手数料を見直す","継続観察"))))</x:f>
      </x:c>
    </x:row>
    <x:row r="188">
      <x:c r="A188" s="95"/>
      <x:c r="B188" s="95"/>
      <x:c r="C188" s="95"/>
      <x:c r="D188" s="95"/>
      <x:c r="E188" s="95"/>
      <x:c r="F188" s="96"/>
      <x:c r="G188" s="96"/>
      <x:c r="H188" s="95"/>
      <x:c r="I188" s="97"/>
      <x:c r="J188" s="97"/>
      <x:c r="K188" s="98"/>
      <x:c r="L188" s="97"/>
      <x:c r="M188" s="97"/>
      <x:c r="N188" s="99" t="str">
        <x:f>IF(OR(I188="",K188=""),"",I188*K188)</x:f>
      </x:c>
      <x:c r="O188" s="99" t="str">
        <x:f>IF(OR(I188="",J188="",N188="",L188="",M188=""),"",I188-J188-N188-L188-M188)</x:f>
      </x:c>
      <x:c r="P188" s="100" t="str">
        <x:f>IFERROR(O188/I188,"")</x:f>
      </x:c>
      <x:c r="Q188" s="99" t="str">
        <x:f>IF(OR(H188="",I188=""),"",H188*I188)</x:f>
      </x:c>
      <x:c r="R188" s="99" t="str">
        <x:f>IF(OR(H188="",O188=""),"",H188*O188)</x:f>
      </x:c>
      <x:c r="S188" s="99" t="str">
        <x:f>IF(G188="","",$B$2-G188)</x:f>
      </x:c>
      <x:c r="T188" s="99" t="str">
        <x:f>IF(S188="","",IF(S188&gt;=90,"90日以上",IF(S188&gt;=60,"60-89日","59日以下")))</x:f>
      </x:c>
      <x:c r="U188" s="99" t="str">
        <x:f>IF(O188="","",IF(O188&lt;0,"赤字",IF(AND(S188&gt;=90,H188&lt;=2),"要見直し",IF(P188&lt;0.15,"低利益","通常"))))</x:f>
      </x:c>
      <x:c r="V188" s="99" t="str">
        <x:f>IF(U188="","",IF(U188="赤字",100,0)+IF(S188&gt;=90,50,0)+IF(P188&lt;0.15,30,0)+IF(E188&gt;=15,10,0))</x:f>
      </x:c>
      <x:c r="W188" s="101" t="str">
        <x:f>IF(U188="","",IF(U188="赤字","価格・原価・送料を再確認",IF(AND(S188&gt;=90,H188&lt;=2),"値下げ・再出品・仕入停止を検討",IF(P188&lt;0.15,"送料・手数料を見直す","継続観察"))))</x:f>
      </x:c>
    </x:row>
    <x:row r="189">
      <x:c r="A189" s="95"/>
      <x:c r="B189" s="95"/>
      <x:c r="C189" s="95"/>
      <x:c r="D189" s="95"/>
      <x:c r="E189" s="95"/>
      <x:c r="F189" s="96"/>
      <x:c r="G189" s="96"/>
      <x:c r="H189" s="95"/>
      <x:c r="I189" s="97"/>
      <x:c r="J189" s="97"/>
      <x:c r="K189" s="98"/>
      <x:c r="L189" s="97"/>
      <x:c r="M189" s="97"/>
      <x:c r="N189" s="99" t="str">
        <x:f>IF(OR(I189="",K189=""),"",I189*K189)</x:f>
      </x:c>
      <x:c r="O189" s="99" t="str">
        <x:f>IF(OR(I189="",J189="",N189="",L189="",M189=""),"",I189-J189-N189-L189-M189)</x:f>
      </x:c>
      <x:c r="P189" s="100" t="str">
        <x:f>IFERROR(O189/I189,"")</x:f>
      </x:c>
      <x:c r="Q189" s="99" t="str">
        <x:f>IF(OR(H189="",I189=""),"",H189*I189)</x:f>
      </x:c>
      <x:c r="R189" s="99" t="str">
        <x:f>IF(OR(H189="",O189=""),"",H189*O189)</x:f>
      </x:c>
      <x:c r="S189" s="99" t="str">
        <x:f>IF(G189="","",$B$2-G189)</x:f>
      </x:c>
      <x:c r="T189" s="99" t="str">
        <x:f>IF(S189="","",IF(S189&gt;=90,"90日以上",IF(S189&gt;=60,"60-89日","59日以下")))</x:f>
      </x:c>
      <x:c r="U189" s="99" t="str">
        <x:f>IF(O189="","",IF(O189&lt;0,"赤字",IF(AND(S189&gt;=90,H189&lt;=2),"要見直し",IF(P189&lt;0.15,"低利益","通常"))))</x:f>
      </x:c>
      <x:c r="V189" s="99" t="str">
        <x:f>IF(U189="","",IF(U189="赤字",100,0)+IF(S189&gt;=90,50,0)+IF(P189&lt;0.15,30,0)+IF(E189&gt;=15,10,0))</x:f>
      </x:c>
      <x:c r="W189" s="101" t="str">
        <x:f>IF(U189="","",IF(U189="赤字","価格・原価・送料を再確認",IF(AND(S189&gt;=90,H189&lt;=2),"値下げ・再出品・仕入停止を検討",IF(P189&lt;0.15,"送料・手数料を見直す","継続観察"))))</x:f>
      </x:c>
    </x:row>
    <x:row r="190">
      <x:c r="A190" s="95"/>
      <x:c r="B190" s="95"/>
      <x:c r="C190" s="95"/>
      <x:c r="D190" s="95"/>
      <x:c r="E190" s="95"/>
      <x:c r="F190" s="96"/>
      <x:c r="G190" s="96"/>
      <x:c r="H190" s="95"/>
      <x:c r="I190" s="97"/>
      <x:c r="J190" s="97"/>
      <x:c r="K190" s="98"/>
      <x:c r="L190" s="97"/>
      <x:c r="M190" s="97"/>
      <x:c r="N190" s="99" t="str">
        <x:f>IF(OR(I190="",K190=""),"",I190*K190)</x:f>
      </x:c>
      <x:c r="O190" s="99" t="str">
        <x:f>IF(OR(I190="",J190="",N190="",L190="",M190=""),"",I190-J190-N190-L190-M190)</x:f>
      </x:c>
      <x:c r="P190" s="100" t="str">
        <x:f>IFERROR(O190/I190,"")</x:f>
      </x:c>
      <x:c r="Q190" s="99" t="str">
        <x:f>IF(OR(H190="",I190=""),"",H190*I190)</x:f>
      </x:c>
      <x:c r="R190" s="99" t="str">
        <x:f>IF(OR(H190="",O190=""),"",H190*O190)</x:f>
      </x:c>
      <x:c r="S190" s="99" t="str">
        <x:f>IF(G190="","",$B$2-G190)</x:f>
      </x:c>
      <x:c r="T190" s="99" t="str">
        <x:f>IF(S190="","",IF(S190&gt;=90,"90日以上",IF(S190&gt;=60,"60-89日","59日以下")))</x:f>
      </x:c>
      <x:c r="U190" s="99" t="str">
        <x:f>IF(O190="","",IF(O190&lt;0,"赤字",IF(AND(S190&gt;=90,H190&lt;=2),"要見直し",IF(P190&lt;0.15,"低利益","通常"))))</x:f>
      </x:c>
      <x:c r="V190" s="99" t="str">
        <x:f>IF(U190="","",IF(U190="赤字",100,0)+IF(S190&gt;=90,50,0)+IF(P190&lt;0.15,30,0)+IF(E190&gt;=15,10,0))</x:f>
      </x:c>
      <x:c r="W190" s="101" t="str">
        <x:f>IF(U190="","",IF(U190="赤字","価格・原価・送料を再確認",IF(AND(S190&gt;=90,H190&lt;=2),"値下げ・再出品・仕入停止を検討",IF(P190&lt;0.15,"送料・手数料を見直す","継続観察"))))</x:f>
      </x:c>
    </x:row>
    <x:row r="191">
      <x:c r="A191" s="95"/>
      <x:c r="B191" s="95"/>
      <x:c r="C191" s="95"/>
      <x:c r="D191" s="95"/>
      <x:c r="E191" s="95"/>
      <x:c r="F191" s="96"/>
      <x:c r="G191" s="96"/>
      <x:c r="H191" s="95"/>
      <x:c r="I191" s="97"/>
      <x:c r="J191" s="97"/>
      <x:c r="K191" s="98"/>
      <x:c r="L191" s="97"/>
      <x:c r="M191" s="97"/>
      <x:c r="N191" s="99" t="str">
        <x:f>IF(OR(I191="",K191=""),"",I191*K191)</x:f>
      </x:c>
      <x:c r="O191" s="99" t="str">
        <x:f>IF(OR(I191="",J191="",N191="",L191="",M191=""),"",I191-J191-N191-L191-M191)</x:f>
      </x:c>
      <x:c r="P191" s="100" t="str">
        <x:f>IFERROR(O191/I191,"")</x:f>
      </x:c>
      <x:c r="Q191" s="99" t="str">
        <x:f>IF(OR(H191="",I191=""),"",H191*I191)</x:f>
      </x:c>
      <x:c r="R191" s="99" t="str">
        <x:f>IF(OR(H191="",O191=""),"",H191*O191)</x:f>
      </x:c>
      <x:c r="S191" s="99" t="str">
        <x:f>IF(G191="","",$B$2-G191)</x:f>
      </x:c>
      <x:c r="T191" s="99" t="str">
        <x:f>IF(S191="","",IF(S191&gt;=90,"90日以上",IF(S191&gt;=60,"60-89日","59日以下")))</x:f>
      </x:c>
      <x:c r="U191" s="99" t="str">
        <x:f>IF(O191="","",IF(O191&lt;0,"赤字",IF(AND(S191&gt;=90,H191&lt;=2),"要見直し",IF(P191&lt;0.15,"低利益","通常"))))</x:f>
      </x:c>
      <x:c r="V191" s="99" t="str">
        <x:f>IF(U191="","",IF(U191="赤字",100,0)+IF(S191&gt;=90,50,0)+IF(P191&lt;0.15,30,0)+IF(E191&gt;=15,10,0))</x:f>
      </x:c>
      <x:c r="W191" s="101" t="str">
        <x:f>IF(U191="","",IF(U191="赤字","価格・原価・送料を再確認",IF(AND(S191&gt;=90,H191&lt;=2),"値下げ・再出品・仕入停止を検討",IF(P191&lt;0.15,"送料・手数料を見直す","継続観察"))))</x:f>
      </x:c>
    </x:row>
    <x:row r="192">
      <x:c r="A192" s="95"/>
      <x:c r="B192" s="95"/>
      <x:c r="C192" s="95"/>
      <x:c r="D192" s="95"/>
      <x:c r="E192" s="95"/>
      <x:c r="F192" s="96"/>
      <x:c r="G192" s="96"/>
      <x:c r="H192" s="95"/>
      <x:c r="I192" s="97"/>
      <x:c r="J192" s="97"/>
      <x:c r="K192" s="98"/>
      <x:c r="L192" s="97"/>
      <x:c r="M192" s="97"/>
      <x:c r="N192" s="99" t="str">
        <x:f>IF(OR(I192="",K192=""),"",I192*K192)</x:f>
      </x:c>
      <x:c r="O192" s="99" t="str">
        <x:f>IF(OR(I192="",J192="",N192="",L192="",M192=""),"",I192-J192-N192-L192-M192)</x:f>
      </x:c>
      <x:c r="P192" s="100" t="str">
        <x:f>IFERROR(O192/I192,"")</x:f>
      </x:c>
      <x:c r="Q192" s="99" t="str">
        <x:f>IF(OR(H192="",I192=""),"",H192*I192)</x:f>
      </x:c>
      <x:c r="R192" s="99" t="str">
        <x:f>IF(OR(H192="",O192=""),"",H192*O192)</x:f>
      </x:c>
      <x:c r="S192" s="99" t="str">
        <x:f>IF(G192="","",$B$2-G192)</x:f>
      </x:c>
      <x:c r="T192" s="99" t="str">
        <x:f>IF(S192="","",IF(S192&gt;=90,"90日以上",IF(S192&gt;=60,"60-89日","59日以下")))</x:f>
      </x:c>
      <x:c r="U192" s="99" t="str">
        <x:f>IF(O192="","",IF(O192&lt;0,"赤字",IF(AND(S192&gt;=90,H192&lt;=2),"要見直し",IF(P192&lt;0.15,"低利益","通常"))))</x:f>
      </x:c>
      <x:c r="V192" s="99" t="str">
        <x:f>IF(U192="","",IF(U192="赤字",100,0)+IF(S192&gt;=90,50,0)+IF(P192&lt;0.15,30,0)+IF(E192&gt;=15,10,0))</x:f>
      </x:c>
      <x:c r="W192" s="101" t="str">
        <x:f>IF(U192="","",IF(U192="赤字","価格・原価・送料を再確認",IF(AND(S192&gt;=90,H192&lt;=2),"値下げ・再出品・仕入停止を検討",IF(P192&lt;0.15,"送料・手数料を見直す","継続観察"))))</x:f>
      </x:c>
    </x:row>
    <x:row r="193">
      <x:c r="A193" s="95"/>
      <x:c r="B193" s="95"/>
      <x:c r="C193" s="95"/>
      <x:c r="D193" s="95"/>
      <x:c r="E193" s="95"/>
      <x:c r="F193" s="96"/>
      <x:c r="G193" s="96"/>
      <x:c r="H193" s="95"/>
      <x:c r="I193" s="97"/>
      <x:c r="J193" s="97"/>
      <x:c r="K193" s="98"/>
      <x:c r="L193" s="97"/>
      <x:c r="M193" s="97"/>
      <x:c r="N193" s="99" t="str">
        <x:f>IF(OR(I193="",K193=""),"",I193*K193)</x:f>
      </x:c>
      <x:c r="O193" s="99" t="str">
        <x:f>IF(OR(I193="",J193="",N193="",L193="",M193=""),"",I193-J193-N193-L193-M193)</x:f>
      </x:c>
      <x:c r="P193" s="100" t="str">
        <x:f>IFERROR(O193/I193,"")</x:f>
      </x:c>
      <x:c r="Q193" s="99" t="str">
        <x:f>IF(OR(H193="",I193=""),"",H193*I193)</x:f>
      </x:c>
      <x:c r="R193" s="99" t="str">
        <x:f>IF(OR(H193="",O193=""),"",H193*O193)</x:f>
      </x:c>
      <x:c r="S193" s="99" t="str">
        <x:f>IF(G193="","",$B$2-G193)</x:f>
      </x:c>
      <x:c r="T193" s="99" t="str">
        <x:f>IF(S193="","",IF(S193&gt;=90,"90日以上",IF(S193&gt;=60,"60-89日","59日以下")))</x:f>
      </x:c>
      <x:c r="U193" s="99" t="str">
        <x:f>IF(O193="","",IF(O193&lt;0,"赤字",IF(AND(S193&gt;=90,H193&lt;=2),"要見直し",IF(P193&lt;0.15,"低利益","通常"))))</x:f>
      </x:c>
      <x:c r="V193" s="99" t="str">
        <x:f>IF(U193="","",IF(U193="赤字",100,0)+IF(S193&gt;=90,50,0)+IF(P193&lt;0.15,30,0)+IF(E193&gt;=15,10,0))</x:f>
      </x:c>
      <x:c r="W193" s="101" t="str">
        <x:f>IF(U193="","",IF(U193="赤字","価格・原価・送料を再確認",IF(AND(S193&gt;=90,H193&lt;=2),"値下げ・再出品・仕入停止を検討",IF(P193&lt;0.15,"送料・手数料を見直す","継続観察"))))</x:f>
      </x:c>
    </x:row>
    <x:row r="194">
      <x:c r="A194" s="95"/>
      <x:c r="B194" s="95"/>
      <x:c r="C194" s="95"/>
      <x:c r="D194" s="95"/>
      <x:c r="E194" s="95"/>
      <x:c r="F194" s="96"/>
      <x:c r="G194" s="96"/>
      <x:c r="H194" s="95"/>
      <x:c r="I194" s="97"/>
      <x:c r="J194" s="97"/>
      <x:c r="K194" s="98"/>
      <x:c r="L194" s="97"/>
      <x:c r="M194" s="97"/>
      <x:c r="N194" s="99" t="str">
        <x:f>IF(OR(I194="",K194=""),"",I194*K194)</x:f>
      </x:c>
      <x:c r="O194" s="99" t="str">
        <x:f>IF(OR(I194="",J194="",N194="",L194="",M194=""),"",I194-J194-N194-L194-M194)</x:f>
      </x:c>
      <x:c r="P194" s="100" t="str">
        <x:f>IFERROR(O194/I194,"")</x:f>
      </x:c>
      <x:c r="Q194" s="99" t="str">
        <x:f>IF(OR(H194="",I194=""),"",H194*I194)</x:f>
      </x:c>
      <x:c r="R194" s="99" t="str">
        <x:f>IF(OR(H194="",O194=""),"",H194*O194)</x:f>
      </x:c>
      <x:c r="S194" s="99" t="str">
        <x:f>IF(G194="","",$B$2-G194)</x:f>
      </x:c>
      <x:c r="T194" s="99" t="str">
        <x:f>IF(S194="","",IF(S194&gt;=90,"90日以上",IF(S194&gt;=60,"60-89日","59日以下")))</x:f>
      </x:c>
      <x:c r="U194" s="99" t="str">
        <x:f>IF(O194="","",IF(O194&lt;0,"赤字",IF(AND(S194&gt;=90,H194&lt;=2),"要見直し",IF(P194&lt;0.15,"低利益","通常"))))</x:f>
      </x:c>
      <x:c r="V194" s="99" t="str">
        <x:f>IF(U194="","",IF(U194="赤字",100,0)+IF(S194&gt;=90,50,0)+IF(P194&lt;0.15,30,0)+IF(E194&gt;=15,10,0))</x:f>
      </x:c>
      <x:c r="W194" s="101" t="str">
        <x:f>IF(U194="","",IF(U194="赤字","価格・原価・送料を再確認",IF(AND(S194&gt;=90,H194&lt;=2),"値下げ・再出品・仕入停止を検討",IF(P194&lt;0.15,"送料・手数料を見直す","継続観察"))))</x:f>
      </x:c>
    </x:row>
    <x:row r="195">
      <x:c r="A195" s="95"/>
      <x:c r="B195" s="95"/>
      <x:c r="C195" s="95"/>
      <x:c r="D195" s="95"/>
      <x:c r="E195" s="95"/>
      <x:c r="F195" s="96"/>
      <x:c r="G195" s="96"/>
      <x:c r="H195" s="95"/>
      <x:c r="I195" s="97"/>
      <x:c r="J195" s="97"/>
      <x:c r="K195" s="98"/>
      <x:c r="L195" s="97"/>
      <x:c r="M195" s="97"/>
      <x:c r="N195" s="99" t="str">
        <x:f>IF(OR(I195="",K195=""),"",I195*K195)</x:f>
      </x:c>
      <x:c r="O195" s="99" t="str">
        <x:f>IF(OR(I195="",J195="",N195="",L195="",M195=""),"",I195-J195-N195-L195-M195)</x:f>
      </x:c>
      <x:c r="P195" s="100" t="str">
        <x:f>IFERROR(O195/I195,"")</x:f>
      </x:c>
      <x:c r="Q195" s="99" t="str">
        <x:f>IF(OR(H195="",I195=""),"",H195*I195)</x:f>
      </x:c>
      <x:c r="R195" s="99" t="str">
        <x:f>IF(OR(H195="",O195=""),"",H195*O195)</x:f>
      </x:c>
      <x:c r="S195" s="99" t="str">
        <x:f>IF(G195="","",$B$2-G195)</x:f>
      </x:c>
      <x:c r="T195" s="99" t="str">
        <x:f>IF(S195="","",IF(S195&gt;=90,"90日以上",IF(S195&gt;=60,"60-89日","59日以下")))</x:f>
      </x:c>
      <x:c r="U195" s="99" t="str">
        <x:f>IF(O195="","",IF(O195&lt;0,"赤字",IF(AND(S195&gt;=90,H195&lt;=2),"要見直し",IF(P195&lt;0.15,"低利益","通常"))))</x:f>
      </x:c>
      <x:c r="V195" s="99" t="str">
        <x:f>IF(U195="","",IF(U195="赤字",100,0)+IF(S195&gt;=90,50,0)+IF(P195&lt;0.15,30,0)+IF(E195&gt;=15,10,0))</x:f>
      </x:c>
      <x:c r="W195" s="101" t="str">
        <x:f>IF(U195="","",IF(U195="赤字","価格・原価・送料を再確認",IF(AND(S195&gt;=90,H195&lt;=2),"値下げ・再出品・仕入停止を検討",IF(P195&lt;0.15,"送料・手数料を見直す","継続観察"))))</x:f>
      </x:c>
    </x:row>
    <x:row r="196">
      <x:c r="A196" s="95"/>
      <x:c r="B196" s="95"/>
      <x:c r="C196" s="95"/>
      <x:c r="D196" s="95"/>
      <x:c r="E196" s="95"/>
      <x:c r="F196" s="96"/>
      <x:c r="G196" s="96"/>
      <x:c r="H196" s="95"/>
      <x:c r="I196" s="97"/>
      <x:c r="J196" s="97"/>
      <x:c r="K196" s="98"/>
      <x:c r="L196" s="97"/>
      <x:c r="M196" s="97"/>
      <x:c r="N196" s="99" t="str">
        <x:f>IF(OR(I196="",K196=""),"",I196*K196)</x:f>
      </x:c>
      <x:c r="O196" s="99" t="str">
        <x:f>IF(OR(I196="",J196="",N196="",L196="",M196=""),"",I196-J196-N196-L196-M196)</x:f>
      </x:c>
      <x:c r="P196" s="100" t="str">
        <x:f>IFERROR(O196/I196,"")</x:f>
      </x:c>
      <x:c r="Q196" s="99" t="str">
        <x:f>IF(OR(H196="",I196=""),"",H196*I196)</x:f>
      </x:c>
      <x:c r="R196" s="99" t="str">
        <x:f>IF(OR(H196="",O196=""),"",H196*O196)</x:f>
      </x:c>
      <x:c r="S196" s="99" t="str">
        <x:f>IF(G196="","",$B$2-G196)</x:f>
      </x:c>
      <x:c r="T196" s="99" t="str">
        <x:f>IF(S196="","",IF(S196&gt;=90,"90日以上",IF(S196&gt;=60,"60-89日","59日以下")))</x:f>
      </x:c>
      <x:c r="U196" s="99" t="str">
        <x:f>IF(O196="","",IF(O196&lt;0,"赤字",IF(AND(S196&gt;=90,H196&lt;=2),"要見直し",IF(P196&lt;0.15,"低利益","通常"))))</x:f>
      </x:c>
      <x:c r="V196" s="99" t="str">
        <x:f>IF(U196="","",IF(U196="赤字",100,0)+IF(S196&gt;=90,50,0)+IF(P196&lt;0.15,30,0)+IF(E196&gt;=15,10,0))</x:f>
      </x:c>
      <x:c r="W196" s="101" t="str">
        <x:f>IF(U196="","",IF(U196="赤字","価格・原価・送料を再確認",IF(AND(S196&gt;=90,H196&lt;=2),"値下げ・再出品・仕入停止を検討",IF(P196&lt;0.15,"送料・手数料を見直す","継続観察"))))</x:f>
      </x:c>
    </x:row>
    <x:row r="197">
      <x:c r="A197" s="95"/>
      <x:c r="B197" s="95"/>
      <x:c r="C197" s="95"/>
      <x:c r="D197" s="95"/>
      <x:c r="E197" s="95"/>
      <x:c r="F197" s="96"/>
      <x:c r="G197" s="96"/>
      <x:c r="H197" s="95"/>
      <x:c r="I197" s="97"/>
      <x:c r="J197" s="97"/>
      <x:c r="K197" s="98"/>
      <x:c r="L197" s="97"/>
      <x:c r="M197" s="97"/>
      <x:c r="N197" s="99" t="str">
        <x:f>IF(OR(I197="",K197=""),"",I197*K197)</x:f>
      </x:c>
      <x:c r="O197" s="99" t="str">
        <x:f>IF(OR(I197="",J197="",N197="",L197="",M197=""),"",I197-J197-N197-L197-M197)</x:f>
      </x:c>
      <x:c r="P197" s="100" t="str">
        <x:f>IFERROR(O197/I197,"")</x:f>
      </x:c>
      <x:c r="Q197" s="99" t="str">
        <x:f>IF(OR(H197="",I197=""),"",H197*I197)</x:f>
      </x:c>
      <x:c r="R197" s="99" t="str">
        <x:f>IF(OR(H197="",O197=""),"",H197*O197)</x:f>
      </x:c>
      <x:c r="S197" s="99" t="str">
        <x:f>IF(G197="","",$B$2-G197)</x:f>
      </x:c>
      <x:c r="T197" s="99" t="str">
        <x:f>IF(S197="","",IF(S197&gt;=90,"90日以上",IF(S197&gt;=60,"60-89日","59日以下")))</x:f>
      </x:c>
      <x:c r="U197" s="99" t="str">
        <x:f>IF(O197="","",IF(O197&lt;0,"赤字",IF(AND(S197&gt;=90,H197&lt;=2),"要見直し",IF(P197&lt;0.15,"低利益","通常"))))</x:f>
      </x:c>
      <x:c r="V197" s="99" t="str">
        <x:f>IF(U197="","",IF(U197="赤字",100,0)+IF(S197&gt;=90,50,0)+IF(P197&lt;0.15,30,0)+IF(E197&gt;=15,10,0))</x:f>
      </x:c>
      <x:c r="W197" s="101" t="str">
        <x:f>IF(U197="","",IF(U197="赤字","価格・原価・送料を再確認",IF(AND(S197&gt;=90,H197&lt;=2),"値下げ・再出品・仕入停止を検討",IF(P197&lt;0.15,"送料・手数料を見直す","継続観察"))))</x:f>
      </x:c>
    </x:row>
    <x:row r="198">
      <x:c r="A198" s="95"/>
      <x:c r="B198" s="95"/>
      <x:c r="C198" s="95"/>
      <x:c r="D198" s="95"/>
      <x:c r="E198" s="95"/>
      <x:c r="F198" s="96"/>
      <x:c r="G198" s="96"/>
      <x:c r="H198" s="95"/>
      <x:c r="I198" s="97"/>
      <x:c r="J198" s="97"/>
      <x:c r="K198" s="98"/>
      <x:c r="L198" s="97"/>
      <x:c r="M198" s="97"/>
      <x:c r="N198" s="99" t="str">
        <x:f>IF(OR(I198="",K198=""),"",I198*K198)</x:f>
      </x:c>
      <x:c r="O198" s="99" t="str">
        <x:f>IF(OR(I198="",J198="",N198="",L198="",M198=""),"",I198-J198-N198-L198-M198)</x:f>
      </x:c>
      <x:c r="P198" s="100" t="str">
        <x:f>IFERROR(O198/I198,"")</x:f>
      </x:c>
      <x:c r="Q198" s="99" t="str">
        <x:f>IF(OR(H198="",I198=""),"",H198*I198)</x:f>
      </x:c>
      <x:c r="R198" s="99" t="str">
        <x:f>IF(OR(H198="",O198=""),"",H198*O198)</x:f>
      </x:c>
      <x:c r="S198" s="99" t="str">
        <x:f>IF(G198="","",$B$2-G198)</x:f>
      </x:c>
      <x:c r="T198" s="99" t="str">
        <x:f>IF(S198="","",IF(S198&gt;=90,"90日以上",IF(S198&gt;=60,"60-89日","59日以下")))</x:f>
      </x:c>
      <x:c r="U198" s="99" t="str">
        <x:f>IF(O198="","",IF(O198&lt;0,"赤字",IF(AND(S198&gt;=90,H198&lt;=2),"要見直し",IF(P198&lt;0.15,"低利益","通常"))))</x:f>
      </x:c>
      <x:c r="V198" s="99" t="str">
        <x:f>IF(U198="","",IF(U198="赤字",100,0)+IF(S198&gt;=90,50,0)+IF(P198&lt;0.15,30,0)+IF(E198&gt;=15,10,0))</x:f>
      </x:c>
      <x:c r="W198" s="101" t="str">
        <x:f>IF(U198="","",IF(U198="赤字","価格・原価・送料を再確認",IF(AND(S198&gt;=90,H198&lt;=2),"値下げ・再出品・仕入停止を検討",IF(P198&lt;0.15,"送料・手数料を見直す","継続観察"))))</x:f>
      </x:c>
    </x:row>
    <x:row r="199">
      <x:c r="A199" s="95"/>
      <x:c r="B199" s="95"/>
      <x:c r="C199" s="95"/>
      <x:c r="D199" s="95"/>
      <x:c r="E199" s="95"/>
      <x:c r="F199" s="96"/>
      <x:c r="G199" s="96"/>
      <x:c r="H199" s="95"/>
      <x:c r="I199" s="97"/>
      <x:c r="J199" s="97"/>
      <x:c r="K199" s="98"/>
      <x:c r="L199" s="97"/>
      <x:c r="M199" s="97"/>
      <x:c r="N199" s="99" t="str">
        <x:f>IF(OR(I199="",K199=""),"",I199*K199)</x:f>
      </x:c>
      <x:c r="O199" s="99" t="str">
        <x:f>IF(OR(I199="",J199="",N199="",L199="",M199=""),"",I199-J199-N199-L199-M199)</x:f>
      </x:c>
      <x:c r="P199" s="100" t="str">
        <x:f>IFERROR(O199/I199,"")</x:f>
      </x:c>
      <x:c r="Q199" s="99" t="str">
        <x:f>IF(OR(H199="",I199=""),"",H199*I199)</x:f>
      </x:c>
      <x:c r="R199" s="99" t="str">
        <x:f>IF(OR(H199="",O199=""),"",H199*O199)</x:f>
      </x:c>
      <x:c r="S199" s="99" t="str">
        <x:f>IF(G199="","",$B$2-G199)</x:f>
      </x:c>
      <x:c r="T199" s="99" t="str">
        <x:f>IF(S199="","",IF(S199&gt;=90,"90日以上",IF(S199&gt;=60,"60-89日","59日以下")))</x:f>
      </x:c>
      <x:c r="U199" s="99" t="str">
        <x:f>IF(O199="","",IF(O199&lt;0,"赤字",IF(AND(S199&gt;=90,H199&lt;=2),"要見直し",IF(P199&lt;0.15,"低利益","通常"))))</x:f>
      </x:c>
      <x:c r="V199" s="99" t="str">
        <x:f>IF(U199="","",IF(U199="赤字",100,0)+IF(S199&gt;=90,50,0)+IF(P199&lt;0.15,30,0)+IF(E199&gt;=15,10,0))</x:f>
      </x:c>
      <x:c r="W199" s="101" t="str">
        <x:f>IF(U199="","",IF(U199="赤字","価格・原価・送料を再確認",IF(AND(S199&gt;=90,H199&lt;=2),"値下げ・再出品・仕入停止を検討",IF(P199&lt;0.15,"送料・手数料を見直す","継続観察"))))</x:f>
      </x:c>
    </x:row>
    <x:row r="200">
      <x:c r="A200" s="95"/>
      <x:c r="B200" s="95"/>
      <x:c r="C200" s="95"/>
      <x:c r="D200" s="95"/>
      <x:c r="E200" s="95"/>
      <x:c r="F200" s="96"/>
      <x:c r="G200" s="96"/>
      <x:c r="H200" s="95"/>
      <x:c r="I200" s="97"/>
      <x:c r="J200" s="97"/>
      <x:c r="K200" s="98"/>
      <x:c r="L200" s="97"/>
      <x:c r="M200" s="97"/>
      <x:c r="N200" s="99" t="str">
        <x:f>IF(OR(I200="",K200=""),"",I200*K200)</x:f>
      </x:c>
      <x:c r="O200" s="99" t="str">
        <x:f>IF(OR(I200="",J200="",N200="",L200="",M200=""),"",I200-J200-N200-L200-M200)</x:f>
      </x:c>
      <x:c r="P200" s="100" t="str">
        <x:f>IFERROR(O200/I200,"")</x:f>
      </x:c>
      <x:c r="Q200" s="99" t="str">
        <x:f>IF(OR(H200="",I200=""),"",H200*I200)</x:f>
      </x:c>
      <x:c r="R200" s="99" t="str">
        <x:f>IF(OR(H200="",O200=""),"",H200*O200)</x:f>
      </x:c>
      <x:c r="S200" s="99" t="str">
        <x:f>IF(G200="","",$B$2-G200)</x:f>
      </x:c>
      <x:c r="T200" s="99" t="str">
        <x:f>IF(S200="","",IF(S200&gt;=90,"90日以上",IF(S200&gt;=60,"60-89日","59日以下")))</x:f>
      </x:c>
      <x:c r="U200" s="99" t="str">
        <x:f>IF(O200="","",IF(O200&lt;0,"赤字",IF(AND(S200&gt;=90,H200&lt;=2),"要見直し",IF(P200&lt;0.15,"低利益","通常"))))</x:f>
      </x:c>
      <x:c r="V200" s="99" t="str">
        <x:f>IF(U200="","",IF(U200="赤字",100,0)+IF(S200&gt;=90,50,0)+IF(P200&lt;0.15,30,0)+IF(E200&gt;=15,10,0))</x:f>
      </x:c>
      <x:c r="W200" s="101" t="str">
        <x:f>IF(U200="","",IF(U200="赤字","価格・原価・送料を再確認",IF(AND(S200&gt;=90,H200&lt;=2),"値下げ・再出品・仕入停止を検討",IF(P200&lt;0.15,"送料・手数料を見直す","継続観察"))))</x:f>
      </x:c>
    </x:row>
    <x:row r="201">
      <x:c r="A201" s="95"/>
      <x:c r="B201" s="95"/>
      <x:c r="C201" s="95"/>
      <x:c r="D201" s="95"/>
      <x:c r="E201" s="95"/>
      <x:c r="F201" s="96"/>
      <x:c r="G201" s="96"/>
      <x:c r="H201" s="95"/>
      <x:c r="I201" s="97"/>
      <x:c r="J201" s="97"/>
      <x:c r="K201" s="98"/>
      <x:c r="L201" s="97"/>
      <x:c r="M201" s="97"/>
      <x:c r="N201" s="99" t="str">
        <x:f>IF(OR(I201="",K201=""),"",I201*K201)</x:f>
      </x:c>
      <x:c r="O201" s="99" t="str">
        <x:f>IF(OR(I201="",J201="",N201="",L201="",M201=""),"",I201-J201-N201-L201-M201)</x:f>
      </x:c>
      <x:c r="P201" s="100" t="str">
        <x:f>IFERROR(O201/I201,"")</x:f>
      </x:c>
      <x:c r="Q201" s="99" t="str">
        <x:f>IF(OR(H201="",I201=""),"",H201*I201)</x:f>
      </x:c>
      <x:c r="R201" s="99" t="str">
        <x:f>IF(OR(H201="",O201=""),"",H201*O201)</x:f>
      </x:c>
      <x:c r="S201" s="99" t="str">
        <x:f>IF(G201="","",$B$2-G201)</x:f>
      </x:c>
      <x:c r="T201" s="99" t="str">
        <x:f>IF(S201="","",IF(S201&gt;=90,"90日以上",IF(S201&gt;=60,"60-89日","59日以下")))</x:f>
      </x:c>
      <x:c r="U201" s="99" t="str">
        <x:f>IF(O201="","",IF(O201&lt;0,"赤字",IF(AND(S201&gt;=90,H201&lt;=2),"要見直し",IF(P201&lt;0.15,"低利益","通常"))))</x:f>
      </x:c>
      <x:c r="V201" s="99" t="str">
        <x:f>IF(U201="","",IF(U201="赤字",100,0)+IF(S201&gt;=90,50,0)+IF(P201&lt;0.15,30,0)+IF(E201&gt;=15,10,0))</x:f>
      </x:c>
      <x:c r="W201" s="101" t="str">
        <x:f>IF(U201="","",IF(U201="赤字","価格・原価・送料を再確認",IF(AND(S201&gt;=90,H201&lt;=2),"値下げ・再出品・仕入停止を検討",IF(P201&lt;0.15,"送料・手数料を見直す","継続観察"))))</x:f>
      </x:c>
    </x:row>
    <x:row r="202">
      <x:c r="A202" s="95"/>
      <x:c r="B202" s="95"/>
      <x:c r="C202" s="95"/>
      <x:c r="D202" s="95"/>
      <x:c r="E202" s="95"/>
      <x:c r="F202" s="96"/>
      <x:c r="G202" s="96"/>
      <x:c r="H202" s="95"/>
      <x:c r="I202" s="97"/>
      <x:c r="J202" s="97"/>
      <x:c r="K202" s="98"/>
      <x:c r="L202" s="97"/>
      <x:c r="M202" s="97"/>
      <x:c r="N202" s="99" t="str">
        <x:f>IF(OR(I202="",K202=""),"",I202*K202)</x:f>
      </x:c>
      <x:c r="O202" s="99" t="str">
        <x:f>IF(OR(I202="",J202="",N202="",L202="",M202=""),"",I202-J202-N202-L202-M202)</x:f>
      </x:c>
      <x:c r="P202" s="100" t="str">
        <x:f>IFERROR(O202/I202,"")</x:f>
      </x:c>
      <x:c r="Q202" s="99" t="str">
        <x:f>IF(OR(H202="",I202=""),"",H202*I202)</x:f>
      </x:c>
      <x:c r="R202" s="99" t="str">
        <x:f>IF(OR(H202="",O202=""),"",H202*O202)</x:f>
      </x:c>
      <x:c r="S202" s="99" t="str">
        <x:f>IF(G202="","",$B$2-G202)</x:f>
      </x:c>
      <x:c r="T202" s="99" t="str">
        <x:f>IF(S202="","",IF(S202&gt;=90,"90日以上",IF(S202&gt;=60,"60-89日","59日以下")))</x:f>
      </x:c>
      <x:c r="U202" s="99" t="str">
        <x:f>IF(O202="","",IF(O202&lt;0,"赤字",IF(AND(S202&gt;=90,H202&lt;=2),"要見直し",IF(P202&lt;0.15,"低利益","通常"))))</x:f>
      </x:c>
      <x:c r="V202" s="99" t="str">
        <x:f>IF(U202="","",IF(U202="赤字",100,0)+IF(S202&gt;=90,50,0)+IF(P202&lt;0.15,30,0)+IF(E202&gt;=15,10,0))</x:f>
      </x:c>
      <x:c r="W202" s="101" t="str">
        <x:f>IF(U202="","",IF(U202="赤字","価格・原価・送料を再確認",IF(AND(S202&gt;=90,H202&lt;=2),"値下げ・再出品・仕入停止を検討",IF(P202&lt;0.15,"送料・手数料を見直す","継続観察"))))</x:f>
      </x:c>
    </x:row>
    <x:row r="203">
      <x:c r="A203" s="95"/>
      <x:c r="B203" s="95"/>
      <x:c r="C203" s="95"/>
      <x:c r="D203" s="95"/>
      <x:c r="E203" s="95"/>
      <x:c r="F203" s="96"/>
      <x:c r="G203" s="96"/>
      <x:c r="H203" s="95"/>
      <x:c r="I203" s="97"/>
      <x:c r="J203" s="97"/>
      <x:c r="K203" s="98"/>
      <x:c r="L203" s="97"/>
      <x:c r="M203" s="97"/>
      <x:c r="N203" s="99" t="str">
        <x:f>IF(OR(I203="",K203=""),"",I203*K203)</x:f>
      </x:c>
      <x:c r="O203" s="99" t="str">
        <x:f>IF(OR(I203="",J203="",N203="",L203="",M203=""),"",I203-J203-N203-L203-M203)</x:f>
      </x:c>
      <x:c r="P203" s="100" t="str">
        <x:f>IFERROR(O203/I203,"")</x:f>
      </x:c>
      <x:c r="Q203" s="99" t="str">
        <x:f>IF(OR(H203="",I203=""),"",H203*I203)</x:f>
      </x:c>
      <x:c r="R203" s="99" t="str">
        <x:f>IF(OR(H203="",O203=""),"",H203*O203)</x:f>
      </x:c>
      <x:c r="S203" s="99" t="str">
        <x:f>IF(G203="","",$B$2-G203)</x:f>
      </x:c>
      <x:c r="T203" s="99" t="str">
        <x:f>IF(S203="","",IF(S203&gt;=90,"90日以上",IF(S203&gt;=60,"60-89日","59日以下")))</x:f>
      </x:c>
      <x:c r="U203" s="99" t="str">
        <x:f>IF(O203="","",IF(O203&lt;0,"赤字",IF(AND(S203&gt;=90,H203&lt;=2),"要見直し",IF(P203&lt;0.15,"低利益","通常"))))</x:f>
      </x:c>
      <x:c r="V203" s="99" t="str">
        <x:f>IF(U203="","",IF(U203="赤字",100,0)+IF(S203&gt;=90,50,0)+IF(P203&lt;0.15,30,0)+IF(E203&gt;=15,10,0))</x:f>
      </x:c>
      <x:c r="W203" s="101" t="str">
        <x:f>IF(U203="","",IF(U203="赤字","価格・原価・送料を再確認",IF(AND(S203&gt;=90,H203&lt;=2),"値下げ・再出品・仕入停止を検討",IF(P203&lt;0.15,"送料・手数料を見直す","継続観察"))))</x:f>
      </x:c>
    </x:row>
    <x:row r="204">
      <x:c r="A204" s="95"/>
      <x:c r="B204" s="95"/>
      <x:c r="C204" s="95"/>
      <x:c r="D204" s="95"/>
      <x:c r="E204" s="95"/>
      <x:c r="F204" s="96"/>
      <x:c r="G204" s="96"/>
      <x:c r="H204" s="95"/>
      <x:c r="I204" s="97"/>
      <x:c r="J204" s="97"/>
      <x:c r="K204" s="98"/>
      <x:c r="L204" s="97"/>
      <x:c r="M204" s="97"/>
      <x:c r="N204" s="99" t="str">
        <x:f>IF(OR(I204="",K204=""),"",I204*K204)</x:f>
      </x:c>
      <x:c r="O204" s="99" t="str">
        <x:f>IF(OR(I204="",J204="",N204="",L204="",M204=""),"",I204-J204-N204-L204-M204)</x:f>
      </x:c>
      <x:c r="P204" s="100" t="str">
        <x:f>IFERROR(O204/I204,"")</x:f>
      </x:c>
      <x:c r="Q204" s="99" t="str">
        <x:f>IF(OR(H204="",I204=""),"",H204*I204)</x:f>
      </x:c>
      <x:c r="R204" s="99" t="str">
        <x:f>IF(OR(H204="",O204=""),"",H204*O204)</x:f>
      </x:c>
      <x:c r="S204" s="99" t="str">
        <x:f>IF(G204="","",$B$2-G204)</x:f>
      </x:c>
      <x:c r="T204" s="99" t="str">
        <x:f>IF(S204="","",IF(S204&gt;=90,"90日以上",IF(S204&gt;=60,"60-89日","59日以下")))</x:f>
      </x:c>
      <x:c r="U204" s="99" t="str">
        <x:f>IF(O204="","",IF(O204&lt;0,"赤字",IF(AND(S204&gt;=90,H204&lt;=2),"要見直し",IF(P204&lt;0.15,"低利益","通常"))))</x:f>
      </x:c>
      <x:c r="V204" s="99" t="str">
        <x:f>IF(U204="","",IF(U204="赤字",100,0)+IF(S204&gt;=90,50,0)+IF(P204&lt;0.15,30,0)+IF(E204&gt;=15,10,0))</x:f>
      </x:c>
      <x:c r="W204" s="101" t="str">
        <x:f>IF(U204="","",IF(U204="赤字","価格・原価・送料を再確認",IF(AND(S204&gt;=90,H204&lt;=2),"値下げ・再出品・仕入停止を検討",IF(P204&lt;0.15,"送料・手数料を見直す","継続観察"))))</x:f>
      </x:c>
    </x:row>
    <x:row r="205">
      <x:c r="A205" s="95"/>
      <x:c r="B205" s="95"/>
      <x:c r="C205" s="95"/>
      <x:c r="D205" s="95"/>
      <x:c r="E205" s="95"/>
      <x:c r="F205" s="96"/>
      <x:c r="G205" s="96"/>
      <x:c r="H205" s="95"/>
      <x:c r="I205" s="97"/>
      <x:c r="J205" s="97"/>
      <x:c r="K205" s="98"/>
      <x:c r="L205" s="97"/>
      <x:c r="M205" s="97"/>
      <x:c r="N205" s="99" t="str">
        <x:f>IF(OR(I205="",K205=""),"",I205*K205)</x:f>
      </x:c>
      <x:c r="O205" s="99" t="str">
        <x:f>IF(OR(I205="",J205="",N205="",L205="",M205=""),"",I205-J205-N205-L205-M205)</x:f>
      </x:c>
      <x:c r="P205" s="100" t="str">
        <x:f>IFERROR(O205/I205,"")</x:f>
      </x:c>
      <x:c r="Q205" s="99" t="str">
        <x:f>IF(OR(H205="",I205=""),"",H205*I205)</x:f>
      </x:c>
      <x:c r="R205" s="99" t="str">
        <x:f>IF(OR(H205="",O205=""),"",H205*O205)</x:f>
      </x:c>
      <x:c r="S205" s="99" t="str">
        <x:f>IF(G205="","",$B$2-G205)</x:f>
      </x:c>
      <x:c r="T205" s="99" t="str">
        <x:f>IF(S205="","",IF(S205&gt;=90,"90日以上",IF(S205&gt;=60,"60-89日","59日以下")))</x:f>
      </x:c>
      <x:c r="U205" s="99" t="str">
        <x:f>IF(O205="","",IF(O205&lt;0,"赤字",IF(AND(S205&gt;=90,H205&lt;=2),"要見直し",IF(P205&lt;0.15,"低利益","通常"))))</x:f>
      </x:c>
      <x:c r="V205" s="99" t="str">
        <x:f>IF(U205="","",IF(U205="赤字",100,0)+IF(S205&gt;=90,50,0)+IF(P205&lt;0.15,30,0)+IF(E205&gt;=15,10,0))</x:f>
      </x:c>
      <x:c r="W205" s="101" t="str">
        <x:f>IF(U205="","",IF(U205="赤字","価格・原価・送料を再確認",IF(AND(S205&gt;=90,H205&lt;=2),"値下げ・再出品・仕入停止を検討",IF(P205&lt;0.15,"送料・手数料を見直す","継続観察"))))</x:f>
      </x:c>
    </x:row>
    <x:row r="206">
      <x:c r="A206" s="95"/>
      <x:c r="B206" s="95"/>
      <x:c r="C206" s="95"/>
      <x:c r="D206" s="95"/>
      <x:c r="E206" s="95"/>
      <x:c r="F206" s="96"/>
      <x:c r="G206" s="96"/>
      <x:c r="H206" s="95"/>
      <x:c r="I206" s="97"/>
      <x:c r="J206" s="97"/>
      <x:c r="K206" s="98"/>
      <x:c r="L206" s="97"/>
      <x:c r="M206" s="97"/>
      <x:c r="N206" s="99" t="str">
        <x:f>IF(OR(I206="",K206=""),"",I206*K206)</x:f>
      </x:c>
      <x:c r="O206" s="99" t="str">
        <x:f>IF(OR(I206="",J206="",N206="",L206="",M206=""),"",I206-J206-N206-L206-M206)</x:f>
      </x:c>
      <x:c r="P206" s="100" t="str">
        <x:f>IFERROR(O206/I206,"")</x:f>
      </x:c>
      <x:c r="Q206" s="99" t="str">
        <x:f>IF(OR(H206="",I206=""),"",H206*I206)</x:f>
      </x:c>
      <x:c r="R206" s="99" t="str">
        <x:f>IF(OR(H206="",O206=""),"",H206*O206)</x:f>
      </x:c>
      <x:c r="S206" s="99" t="str">
        <x:f>IF(G206="","",$B$2-G206)</x:f>
      </x:c>
      <x:c r="T206" s="99" t="str">
        <x:f>IF(S206="","",IF(S206&gt;=90,"90日以上",IF(S206&gt;=60,"60-89日","59日以下")))</x:f>
      </x:c>
      <x:c r="U206" s="99" t="str">
        <x:f>IF(O206="","",IF(O206&lt;0,"赤字",IF(AND(S206&gt;=90,H206&lt;=2),"要見直し",IF(P206&lt;0.15,"低利益","通常"))))</x:f>
      </x:c>
      <x:c r="V206" s="99" t="str">
        <x:f>IF(U206="","",IF(U206="赤字",100,0)+IF(S206&gt;=90,50,0)+IF(P206&lt;0.15,30,0)+IF(E206&gt;=15,10,0))</x:f>
      </x:c>
      <x:c r="W206" s="101" t="str">
        <x:f>IF(U206="","",IF(U206="赤字","価格・原価・送料を再確認",IF(AND(S206&gt;=90,H206&lt;=2),"値下げ・再出品・仕入停止を検討",IF(P206&lt;0.15,"送料・手数料を見直す","継続観察"))))</x:f>
      </x:c>
    </x:row>
    <x:row r="207">
      <x:c r="A207" s="95"/>
      <x:c r="B207" s="95"/>
      <x:c r="C207" s="95"/>
      <x:c r="D207" s="95"/>
      <x:c r="E207" s="95"/>
      <x:c r="F207" s="96"/>
      <x:c r="G207" s="96"/>
      <x:c r="H207" s="95"/>
      <x:c r="I207" s="97"/>
      <x:c r="J207" s="97"/>
      <x:c r="K207" s="98"/>
      <x:c r="L207" s="97"/>
      <x:c r="M207" s="97"/>
      <x:c r="N207" s="99" t="str">
        <x:f>IF(OR(I207="",K207=""),"",I207*K207)</x:f>
      </x:c>
      <x:c r="O207" s="99" t="str">
        <x:f>IF(OR(I207="",J207="",N207="",L207="",M207=""),"",I207-J207-N207-L207-M207)</x:f>
      </x:c>
      <x:c r="P207" s="100" t="str">
        <x:f>IFERROR(O207/I207,"")</x:f>
      </x:c>
      <x:c r="Q207" s="99" t="str">
        <x:f>IF(OR(H207="",I207=""),"",H207*I207)</x:f>
      </x:c>
      <x:c r="R207" s="99" t="str">
        <x:f>IF(OR(H207="",O207=""),"",H207*O207)</x:f>
      </x:c>
      <x:c r="S207" s="99" t="str">
        <x:f>IF(G207="","",$B$2-G207)</x:f>
      </x:c>
      <x:c r="T207" s="99" t="str">
        <x:f>IF(S207="","",IF(S207&gt;=90,"90日以上",IF(S207&gt;=60,"60-89日","59日以下")))</x:f>
      </x:c>
      <x:c r="U207" s="99" t="str">
        <x:f>IF(O207="","",IF(O207&lt;0,"赤字",IF(AND(S207&gt;=90,H207&lt;=2),"要見直し",IF(P207&lt;0.15,"低利益","通常"))))</x:f>
      </x:c>
      <x:c r="V207" s="99" t="str">
        <x:f>IF(U207="","",IF(U207="赤字",100,0)+IF(S207&gt;=90,50,0)+IF(P207&lt;0.15,30,0)+IF(E207&gt;=15,10,0))</x:f>
      </x:c>
      <x:c r="W207" s="101" t="str">
        <x:f>IF(U207="","",IF(U207="赤字","価格・原価・送料を再確認",IF(AND(S207&gt;=90,H207&lt;=2),"値下げ・再出品・仕入停止を検討",IF(P207&lt;0.15,"送料・手数料を見直す","継続観察"))))</x:f>
      </x:c>
    </x:row>
    <x:row r="208">
      <x:c r="A208" s="95"/>
      <x:c r="B208" s="95"/>
      <x:c r="C208" s="95"/>
      <x:c r="D208" s="95"/>
      <x:c r="E208" s="95"/>
      <x:c r="F208" s="96"/>
      <x:c r="G208" s="96"/>
      <x:c r="H208" s="95"/>
      <x:c r="I208" s="97"/>
      <x:c r="J208" s="97"/>
      <x:c r="K208" s="98"/>
      <x:c r="L208" s="97"/>
      <x:c r="M208" s="97"/>
      <x:c r="N208" s="99" t="str">
        <x:f>IF(OR(I208="",K208=""),"",I208*K208)</x:f>
      </x:c>
      <x:c r="O208" s="99" t="str">
        <x:f>IF(OR(I208="",J208="",N208="",L208="",M208=""),"",I208-J208-N208-L208-M208)</x:f>
      </x:c>
      <x:c r="P208" s="100" t="str">
        <x:f>IFERROR(O208/I208,"")</x:f>
      </x:c>
      <x:c r="Q208" s="99" t="str">
        <x:f>IF(OR(H208="",I208=""),"",H208*I208)</x:f>
      </x:c>
      <x:c r="R208" s="99" t="str">
        <x:f>IF(OR(H208="",O208=""),"",H208*O208)</x:f>
      </x:c>
      <x:c r="S208" s="99" t="str">
        <x:f>IF(G208="","",$B$2-G208)</x:f>
      </x:c>
      <x:c r="T208" s="99" t="str">
        <x:f>IF(S208="","",IF(S208&gt;=90,"90日以上",IF(S208&gt;=60,"60-89日","59日以下")))</x:f>
      </x:c>
      <x:c r="U208" s="99" t="str">
        <x:f>IF(O208="","",IF(O208&lt;0,"赤字",IF(AND(S208&gt;=90,H208&lt;=2),"要見直し",IF(P208&lt;0.15,"低利益","通常"))))</x:f>
      </x:c>
      <x:c r="V208" s="99" t="str">
        <x:f>IF(U208="","",IF(U208="赤字",100,0)+IF(S208&gt;=90,50,0)+IF(P208&lt;0.15,30,0)+IF(E208&gt;=15,10,0))</x:f>
      </x:c>
      <x:c r="W208" s="101" t="str">
        <x:f>IF(U208="","",IF(U208="赤字","価格・原価・送料を再確認",IF(AND(S208&gt;=90,H208&lt;=2),"値下げ・再出品・仕入停止を検討",IF(P208&lt;0.15,"送料・手数料を見直す","継続観察"))))</x:f>
      </x:c>
    </x:row>
    <x:row r="209">
      <x:c r="A209" s="95"/>
      <x:c r="B209" s="95"/>
      <x:c r="C209" s="95"/>
      <x:c r="D209" s="95"/>
      <x:c r="E209" s="95"/>
      <x:c r="F209" s="96"/>
      <x:c r="G209" s="96"/>
      <x:c r="H209" s="95"/>
      <x:c r="I209" s="97"/>
      <x:c r="J209" s="97"/>
      <x:c r="K209" s="98"/>
      <x:c r="L209" s="97"/>
      <x:c r="M209" s="97"/>
      <x:c r="N209" s="99" t="str">
        <x:f>IF(OR(I209="",K209=""),"",I209*K209)</x:f>
      </x:c>
      <x:c r="O209" s="99" t="str">
        <x:f>IF(OR(I209="",J209="",N209="",L209="",M209=""),"",I209-J209-N209-L209-M209)</x:f>
      </x:c>
      <x:c r="P209" s="100" t="str">
        <x:f>IFERROR(O209/I209,"")</x:f>
      </x:c>
      <x:c r="Q209" s="99" t="str">
        <x:f>IF(OR(H209="",I209=""),"",H209*I209)</x:f>
      </x:c>
      <x:c r="R209" s="99" t="str">
        <x:f>IF(OR(H209="",O209=""),"",H209*O209)</x:f>
      </x:c>
      <x:c r="S209" s="99" t="str">
        <x:f>IF(G209="","",$B$2-G209)</x:f>
      </x:c>
      <x:c r="T209" s="99" t="str">
        <x:f>IF(S209="","",IF(S209&gt;=90,"90日以上",IF(S209&gt;=60,"60-89日","59日以下")))</x:f>
      </x:c>
      <x:c r="U209" s="99" t="str">
        <x:f>IF(O209="","",IF(O209&lt;0,"赤字",IF(AND(S209&gt;=90,H209&lt;=2),"要見直し",IF(P209&lt;0.15,"低利益","通常"))))</x:f>
      </x:c>
      <x:c r="V209" s="99" t="str">
        <x:f>IF(U209="","",IF(U209="赤字",100,0)+IF(S209&gt;=90,50,0)+IF(P209&lt;0.15,30,0)+IF(E209&gt;=15,10,0))</x:f>
      </x:c>
      <x:c r="W209" s="101" t="str">
        <x:f>IF(U209="","",IF(U209="赤字","価格・原価・送料を再確認",IF(AND(S209&gt;=90,H209&lt;=2),"値下げ・再出品・仕入停止を検討",IF(P209&lt;0.15,"送料・手数料を見直す","継続観察"))))</x:f>
      </x:c>
    </x:row>
    <x:row r="210">
      <x:c r="A210" s="95"/>
      <x:c r="B210" s="95"/>
      <x:c r="C210" s="95"/>
      <x:c r="D210" s="95"/>
      <x:c r="E210" s="95"/>
      <x:c r="F210" s="96"/>
      <x:c r="G210" s="96"/>
      <x:c r="H210" s="95"/>
      <x:c r="I210" s="97"/>
      <x:c r="J210" s="97"/>
      <x:c r="K210" s="98"/>
      <x:c r="L210" s="97"/>
      <x:c r="M210" s="97"/>
      <x:c r="N210" s="99" t="str">
        <x:f>IF(OR(I210="",K210=""),"",I210*K210)</x:f>
      </x:c>
      <x:c r="O210" s="99" t="str">
        <x:f>IF(OR(I210="",J210="",N210="",L210="",M210=""),"",I210-J210-N210-L210-M210)</x:f>
      </x:c>
      <x:c r="P210" s="100" t="str">
        <x:f>IFERROR(O210/I210,"")</x:f>
      </x:c>
      <x:c r="Q210" s="99" t="str">
        <x:f>IF(OR(H210="",I210=""),"",H210*I210)</x:f>
      </x:c>
      <x:c r="R210" s="99" t="str">
        <x:f>IF(OR(H210="",O210=""),"",H210*O210)</x:f>
      </x:c>
      <x:c r="S210" s="99" t="str">
        <x:f>IF(G210="","",$B$2-G210)</x:f>
      </x:c>
      <x:c r="T210" s="99" t="str">
        <x:f>IF(S210="","",IF(S210&gt;=90,"90日以上",IF(S210&gt;=60,"60-89日","59日以下")))</x:f>
      </x:c>
      <x:c r="U210" s="99" t="str">
        <x:f>IF(O210="","",IF(O210&lt;0,"赤字",IF(AND(S210&gt;=90,H210&lt;=2),"要見直し",IF(P210&lt;0.15,"低利益","通常"))))</x:f>
      </x:c>
      <x:c r="V210" s="99" t="str">
        <x:f>IF(U210="","",IF(U210="赤字",100,0)+IF(S210&gt;=90,50,0)+IF(P210&lt;0.15,30,0)+IF(E210&gt;=15,10,0))</x:f>
      </x:c>
      <x:c r="W210" s="101" t="str">
        <x:f>IF(U210="","",IF(U210="赤字","価格・原価・送料を再確認",IF(AND(S210&gt;=90,H210&lt;=2),"値下げ・再出品・仕入停止を検討",IF(P210&lt;0.15,"送料・手数料を見直す","継続観察"))))</x:f>
      </x:c>
    </x:row>
    <x:row r="211">
      <x:c r="A211" s="95"/>
      <x:c r="B211" s="95"/>
      <x:c r="C211" s="95"/>
      <x:c r="D211" s="95"/>
      <x:c r="E211" s="95"/>
      <x:c r="F211" s="96"/>
      <x:c r="G211" s="96"/>
      <x:c r="H211" s="95"/>
      <x:c r="I211" s="97"/>
      <x:c r="J211" s="97"/>
      <x:c r="K211" s="98"/>
      <x:c r="L211" s="97"/>
      <x:c r="M211" s="97"/>
      <x:c r="N211" s="99" t="str">
        <x:f>IF(OR(I211="",K211=""),"",I211*K211)</x:f>
      </x:c>
      <x:c r="O211" s="99" t="str">
        <x:f>IF(OR(I211="",J211="",N211="",L211="",M211=""),"",I211-J211-N211-L211-M211)</x:f>
      </x:c>
      <x:c r="P211" s="100" t="str">
        <x:f>IFERROR(O211/I211,"")</x:f>
      </x:c>
      <x:c r="Q211" s="99" t="str">
        <x:f>IF(OR(H211="",I211=""),"",H211*I211)</x:f>
      </x:c>
      <x:c r="R211" s="99" t="str">
        <x:f>IF(OR(H211="",O211=""),"",H211*O211)</x:f>
      </x:c>
      <x:c r="S211" s="99" t="str">
        <x:f>IF(G211="","",$B$2-G211)</x:f>
      </x:c>
      <x:c r="T211" s="99" t="str">
        <x:f>IF(S211="","",IF(S211&gt;=90,"90日以上",IF(S211&gt;=60,"60-89日","59日以下")))</x:f>
      </x:c>
      <x:c r="U211" s="99" t="str">
        <x:f>IF(O211="","",IF(O211&lt;0,"赤字",IF(AND(S211&gt;=90,H211&lt;=2),"要見直し",IF(P211&lt;0.15,"低利益","通常"))))</x:f>
      </x:c>
      <x:c r="V211" s="99" t="str">
        <x:f>IF(U211="","",IF(U211="赤字",100,0)+IF(S211&gt;=90,50,0)+IF(P211&lt;0.15,30,0)+IF(E211&gt;=15,10,0))</x:f>
      </x:c>
      <x:c r="W211" s="101" t="str">
        <x:f>IF(U211="","",IF(U211="赤字","価格・原価・送料を再確認",IF(AND(S211&gt;=90,H211&lt;=2),"値下げ・再出品・仕入停止を検討",IF(P211&lt;0.15,"送料・手数料を見直す","継続観察"))))</x:f>
      </x:c>
    </x:row>
    <x:row r="212">
      <x:c r="A212" s="95"/>
      <x:c r="B212" s="95"/>
      <x:c r="C212" s="95"/>
      <x:c r="D212" s="95"/>
      <x:c r="E212" s="95"/>
      <x:c r="F212" s="96"/>
      <x:c r="G212" s="96"/>
      <x:c r="H212" s="95"/>
      <x:c r="I212" s="97"/>
      <x:c r="J212" s="97"/>
      <x:c r="K212" s="98"/>
      <x:c r="L212" s="97"/>
      <x:c r="M212" s="97"/>
      <x:c r="N212" s="99" t="str">
        <x:f>IF(OR(I212="",K212=""),"",I212*K212)</x:f>
      </x:c>
      <x:c r="O212" s="99" t="str">
        <x:f>IF(OR(I212="",J212="",N212="",L212="",M212=""),"",I212-J212-N212-L212-M212)</x:f>
      </x:c>
      <x:c r="P212" s="100" t="str">
        <x:f>IFERROR(O212/I212,"")</x:f>
      </x:c>
      <x:c r="Q212" s="99" t="str">
        <x:f>IF(OR(H212="",I212=""),"",H212*I212)</x:f>
      </x:c>
      <x:c r="R212" s="99" t="str">
        <x:f>IF(OR(H212="",O212=""),"",H212*O212)</x:f>
      </x:c>
      <x:c r="S212" s="99" t="str">
        <x:f>IF(G212="","",$B$2-G212)</x:f>
      </x:c>
      <x:c r="T212" s="99" t="str">
        <x:f>IF(S212="","",IF(S212&gt;=90,"90日以上",IF(S212&gt;=60,"60-89日","59日以下")))</x:f>
      </x:c>
      <x:c r="U212" s="99" t="str">
        <x:f>IF(O212="","",IF(O212&lt;0,"赤字",IF(AND(S212&gt;=90,H212&lt;=2),"要見直し",IF(P212&lt;0.15,"低利益","通常"))))</x:f>
      </x:c>
      <x:c r="V212" s="99" t="str">
        <x:f>IF(U212="","",IF(U212="赤字",100,0)+IF(S212&gt;=90,50,0)+IF(P212&lt;0.15,30,0)+IF(E212&gt;=15,10,0))</x:f>
      </x:c>
      <x:c r="W212" s="101" t="str">
        <x:f>IF(U212="","",IF(U212="赤字","価格・原価・送料を再確認",IF(AND(S212&gt;=90,H212&lt;=2),"値下げ・再出品・仕入停止を検討",IF(P212&lt;0.15,"送料・手数料を見直す","継続観察"))))</x:f>
      </x:c>
    </x:row>
    <x:row r="213">
      <x:c r="A213" s="95"/>
      <x:c r="B213" s="95"/>
      <x:c r="C213" s="95"/>
      <x:c r="D213" s="95"/>
      <x:c r="E213" s="95"/>
      <x:c r="F213" s="96"/>
      <x:c r="G213" s="96"/>
      <x:c r="H213" s="95"/>
      <x:c r="I213" s="97"/>
      <x:c r="J213" s="97"/>
      <x:c r="K213" s="98"/>
      <x:c r="L213" s="97"/>
      <x:c r="M213" s="97"/>
      <x:c r="N213" s="99" t="str">
        <x:f>IF(OR(I213="",K213=""),"",I213*K213)</x:f>
      </x:c>
      <x:c r="O213" s="99" t="str">
        <x:f>IF(OR(I213="",J213="",N213="",L213="",M213=""),"",I213-J213-N213-L213-M213)</x:f>
      </x:c>
      <x:c r="P213" s="100" t="str">
        <x:f>IFERROR(O213/I213,"")</x:f>
      </x:c>
      <x:c r="Q213" s="99" t="str">
        <x:f>IF(OR(H213="",I213=""),"",H213*I213)</x:f>
      </x:c>
      <x:c r="R213" s="99" t="str">
        <x:f>IF(OR(H213="",O213=""),"",H213*O213)</x:f>
      </x:c>
      <x:c r="S213" s="99" t="str">
        <x:f>IF(G213="","",$B$2-G213)</x:f>
      </x:c>
      <x:c r="T213" s="99" t="str">
        <x:f>IF(S213="","",IF(S213&gt;=90,"90日以上",IF(S213&gt;=60,"60-89日","59日以下")))</x:f>
      </x:c>
      <x:c r="U213" s="99" t="str">
        <x:f>IF(O213="","",IF(O213&lt;0,"赤字",IF(AND(S213&gt;=90,H213&lt;=2),"要見直し",IF(P213&lt;0.15,"低利益","通常"))))</x:f>
      </x:c>
      <x:c r="V213" s="99" t="str">
        <x:f>IF(U213="","",IF(U213="赤字",100,0)+IF(S213&gt;=90,50,0)+IF(P213&lt;0.15,30,0)+IF(E213&gt;=15,10,0))</x:f>
      </x:c>
      <x:c r="W213" s="101" t="str">
        <x:f>IF(U213="","",IF(U213="赤字","価格・原価・送料を再確認",IF(AND(S213&gt;=90,H213&lt;=2),"値下げ・再出品・仕入停止を検討",IF(P213&lt;0.15,"送料・手数料を見直す","継続観察"))))</x:f>
      </x:c>
    </x:row>
    <x:row r="214">
      <x:c r="A214" s="95"/>
      <x:c r="B214" s="95"/>
      <x:c r="C214" s="95"/>
      <x:c r="D214" s="95"/>
      <x:c r="E214" s="95"/>
      <x:c r="F214" s="96"/>
      <x:c r="G214" s="96"/>
      <x:c r="H214" s="95"/>
      <x:c r="I214" s="97"/>
      <x:c r="J214" s="97"/>
      <x:c r="K214" s="98"/>
      <x:c r="L214" s="97"/>
      <x:c r="M214" s="97"/>
      <x:c r="N214" s="99" t="str">
        <x:f>IF(OR(I214="",K214=""),"",I214*K214)</x:f>
      </x:c>
      <x:c r="O214" s="99" t="str">
        <x:f>IF(OR(I214="",J214="",N214="",L214="",M214=""),"",I214-J214-N214-L214-M214)</x:f>
      </x:c>
      <x:c r="P214" s="100" t="str">
        <x:f>IFERROR(O214/I214,"")</x:f>
      </x:c>
      <x:c r="Q214" s="99" t="str">
        <x:f>IF(OR(H214="",I214=""),"",H214*I214)</x:f>
      </x:c>
      <x:c r="R214" s="99" t="str">
        <x:f>IF(OR(H214="",O214=""),"",H214*O214)</x:f>
      </x:c>
      <x:c r="S214" s="99" t="str">
        <x:f>IF(G214="","",$B$2-G214)</x:f>
      </x:c>
      <x:c r="T214" s="99" t="str">
        <x:f>IF(S214="","",IF(S214&gt;=90,"90日以上",IF(S214&gt;=60,"60-89日","59日以下")))</x:f>
      </x:c>
      <x:c r="U214" s="99" t="str">
        <x:f>IF(O214="","",IF(O214&lt;0,"赤字",IF(AND(S214&gt;=90,H214&lt;=2),"要見直し",IF(P214&lt;0.15,"低利益","通常"))))</x:f>
      </x:c>
      <x:c r="V214" s="99" t="str">
        <x:f>IF(U214="","",IF(U214="赤字",100,0)+IF(S214&gt;=90,50,0)+IF(P214&lt;0.15,30,0)+IF(E214&gt;=15,10,0))</x:f>
      </x:c>
      <x:c r="W214" s="101" t="str">
        <x:f>IF(U214="","",IF(U214="赤字","価格・原価・送料を再確認",IF(AND(S214&gt;=90,H214&lt;=2),"値下げ・再出品・仕入停止を検討",IF(P214&lt;0.15,"送料・手数料を見直す","継続観察"))))</x:f>
      </x:c>
    </x:row>
    <x:row r="215">
      <x:c r="A215" s="95"/>
      <x:c r="B215" s="95"/>
      <x:c r="C215" s="95"/>
      <x:c r="D215" s="95"/>
      <x:c r="E215" s="95"/>
      <x:c r="F215" s="96"/>
      <x:c r="G215" s="96"/>
      <x:c r="H215" s="95"/>
      <x:c r="I215" s="97"/>
      <x:c r="J215" s="97"/>
      <x:c r="K215" s="98"/>
      <x:c r="L215" s="97"/>
      <x:c r="M215" s="97"/>
      <x:c r="N215" s="99" t="str">
        <x:f>IF(OR(I215="",K215=""),"",I215*K215)</x:f>
      </x:c>
      <x:c r="O215" s="99" t="str">
        <x:f>IF(OR(I215="",J215="",N215="",L215="",M215=""),"",I215-J215-N215-L215-M215)</x:f>
      </x:c>
      <x:c r="P215" s="100" t="str">
        <x:f>IFERROR(O215/I215,"")</x:f>
      </x:c>
      <x:c r="Q215" s="99" t="str">
        <x:f>IF(OR(H215="",I215=""),"",H215*I215)</x:f>
      </x:c>
      <x:c r="R215" s="99" t="str">
        <x:f>IF(OR(H215="",O215=""),"",H215*O215)</x:f>
      </x:c>
      <x:c r="S215" s="99" t="str">
        <x:f>IF(G215="","",$B$2-G215)</x:f>
      </x:c>
      <x:c r="T215" s="99" t="str">
        <x:f>IF(S215="","",IF(S215&gt;=90,"90日以上",IF(S215&gt;=60,"60-89日","59日以下")))</x:f>
      </x:c>
      <x:c r="U215" s="99" t="str">
        <x:f>IF(O215="","",IF(O215&lt;0,"赤字",IF(AND(S215&gt;=90,H215&lt;=2),"要見直し",IF(P215&lt;0.15,"低利益","通常"))))</x:f>
      </x:c>
      <x:c r="V215" s="99" t="str">
        <x:f>IF(U215="","",IF(U215="赤字",100,0)+IF(S215&gt;=90,50,0)+IF(P215&lt;0.15,30,0)+IF(E215&gt;=15,10,0))</x:f>
      </x:c>
      <x:c r="W215" s="101" t="str">
        <x:f>IF(U215="","",IF(U215="赤字","価格・原価・送料を再確認",IF(AND(S215&gt;=90,H215&lt;=2),"値下げ・再出品・仕入停止を検討",IF(P215&lt;0.15,"送料・手数料を見直す","継続観察"))))</x:f>
      </x:c>
    </x:row>
    <x:row r="216">
      <x:c r="A216" s="95"/>
      <x:c r="B216" s="95"/>
      <x:c r="C216" s="95"/>
      <x:c r="D216" s="95"/>
      <x:c r="E216" s="95"/>
      <x:c r="F216" s="96"/>
      <x:c r="G216" s="96"/>
      <x:c r="H216" s="95"/>
      <x:c r="I216" s="97"/>
      <x:c r="J216" s="97"/>
      <x:c r="K216" s="98"/>
      <x:c r="L216" s="97"/>
      <x:c r="M216" s="97"/>
      <x:c r="N216" s="99" t="str">
        <x:f>IF(OR(I216="",K216=""),"",I216*K216)</x:f>
      </x:c>
      <x:c r="O216" s="99" t="str">
        <x:f>IF(OR(I216="",J216="",N216="",L216="",M216=""),"",I216-J216-N216-L216-M216)</x:f>
      </x:c>
      <x:c r="P216" s="100" t="str">
        <x:f>IFERROR(O216/I216,"")</x:f>
      </x:c>
      <x:c r="Q216" s="99" t="str">
        <x:f>IF(OR(H216="",I216=""),"",H216*I216)</x:f>
      </x:c>
      <x:c r="R216" s="99" t="str">
        <x:f>IF(OR(H216="",O216=""),"",H216*O216)</x:f>
      </x:c>
      <x:c r="S216" s="99" t="str">
        <x:f>IF(G216="","",$B$2-G216)</x:f>
      </x:c>
      <x:c r="T216" s="99" t="str">
        <x:f>IF(S216="","",IF(S216&gt;=90,"90日以上",IF(S216&gt;=60,"60-89日","59日以下")))</x:f>
      </x:c>
      <x:c r="U216" s="99" t="str">
        <x:f>IF(O216="","",IF(O216&lt;0,"赤字",IF(AND(S216&gt;=90,H216&lt;=2),"要見直し",IF(P216&lt;0.15,"低利益","通常"))))</x:f>
      </x:c>
      <x:c r="V216" s="99" t="str">
        <x:f>IF(U216="","",IF(U216="赤字",100,0)+IF(S216&gt;=90,50,0)+IF(P216&lt;0.15,30,0)+IF(E216&gt;=15,10,0))</x:f>
      </x:c>
      <x:c r="W216" s="101" t="str">
        <x:f>IF(U216="","",IF(U216="赤字","価格・原価・送料を再確認",IF(AND(S216&gt;=90,H216&lt;=2),"値下げ・再出品・仕入停止を検討",IF(P216&lt;0.15,"送料・手数料を見直す","継続観察"))))</x:f>
      </x:c>
    </x:row>
    <x:row r="217">
      <x:c r="A217" s="95"/>
      <x:c r="B217" s="95"/>
      <x:c r="C217" s="95"/>
      <x:c r="D217" s="95"/>
      <x:c r="E217" s="95"/>
      <x:c r="F217" s="96"/>
      <x:c r="G217" s="96"/>
      <x:c r="H217" s="95"/>
      <x:c r="I217" s="97"/>
      <x:c r="J217" s="97"/>
      <x:c r="K217" s="98"/>
      <x:c r="L217" s="97"/>
      <x:c r="M217" s="97"/>
      <x:c r="N217" s="99" t="str">
        <x:f>IF(OR(I217="",K217=""),"",I217*K217)</x:f>
      </x:c>
      <x:c r="O217" s="99" t="str">
        <x:f>IF(OR(I217="",J217="",N217="",L217="",M217=""),"",I217-J217-N217-L217-M217)</x:f>
      </x:c>
      <x:c r="P217" s="100" t="str">
        <x:f>IFERROR(O217/I217,"")</x:f>
      </x:c>
      <x:c r="Q217" s="99" t="str">
        <x:f>IF(OR(H217="",I217=""),"",H217*I217)</x:f>
      </x:c>
      <x:c r="R217" s="99" t="str">
        <x:f>IF(OR(H217="",O217=""),"",H217*O217)</x:f>
      </x:c>
      <x:c r="S217" s="99" t="str">
        <x:f>IF(G217="","",$B$2-G217)</x:f>
      </x:c>
      <x:c r="T217" s="99" t="str">
        <x:f>IF(S217="","",IF(S217&gt;=90,"90日以上",IF(S217&gt;=60,"60-89日","59日以下")))</x:f>
      </x:c>
      <x:c r="U217" s="99" t="str">
        <x:f>IF(O217="","",IF(O217&lt;0,"赤字",IF(AND(S217&gt;=90,H217&lt;=2),"要見直し",IF(P217&lt;0.15,"低利益","通常"))))</x:f>
      </x:c>
      <x:c r="V217" s="99" t="str">
        <x:f>IF(U217="","",IF(U217="赤字",100,0)+IF(S217&gt;=90,50,0)+IF(P217&lt;0.15,30,0)+IF(E217&gt;=15,10,0))</x:f>
      </x:c>
      <x:c r="W217" s="101" t="str">
        <x:f>IF(U217="","",IF(U217="赤字","価格・原価・送料を再確認",IF(AND(S217&gt;=90,H217&lt;=2),"値下げ・再出品・仕入停止を検討",IF(P217&lt;0.15,"送料・手数料を見直す","継続観察"))))</x:f>
      </x:c>
    </x:row>
    <x:row r="218">
      <x:c r="A218" s="95"/>
      <x:c r="B218" s="95"/>
      <x:c r="C218" s="95"/>
      <x:c r="D218" s="95"/>
      <x:c r="E218" s="95"/>
      <x:c r="F218" s="96"/>
      <x:c r="G218" s="96"/>
      <x:c r="H218" s="95"/>
      <x:c r="I218" s="97"/>
      <x:c r="J218" s="97"/>
      <x:c r="K218" s="98"/>
      <x:c r="L218" s="97"/>
      <x:c r="M218" s="97"/>
      <x:c r="N218" s="99" t="str">
        <x:f>IF(OR(I218="",K218=""),"",I218*K218)</x:f>
      </x:c>
      <x:c r="O218" s="99" t="str">
        <x:f>IF(OR(I218="",J218="",N218="",L218="",M218=""),"",I218-J218-N218-L218-M218)</x:f>
      </x:c>
      <x:c r="P218" s="100" t="str">
        <x:f>IFERROR(O218/I218,"")</x:f>
      </x:c>
      <x:c r="Q218" s="99" t="str">
        <x:f>IF(OR(H218="",I218=""),"",H218*I218)</x:f>
      </x:c>
      <x:c r="R218" s="99" t="str">
        <x:f>IF(OR(H218="",O218=""),"",H218*O218)</x:f>
      </x:c>
      <x:c r="S218" s="99" t="str">
        <x:f>IF(G218="","",$B$2-G218)</x:f>
      </x:c>
      <x:c r="T218" s="99" t="str">
        <x:f>IF(S218="","",IF(S218&gt;=90,"90日以上",IF(S218&gt;=60,"60-89日","59日以下")))</x:f>
      </x:c>
      <x:c r="U218" s="99" t="str">
        <x:f>IF(O218="","",IF(O218&lt;0,"赤字",IF(AND(S218&gt;=90,H218&lt;=2),"要見直し",IF(P218&lt;0.15,"低利益","通常"))))</x:f>
      </x:c>
      <x:c r="V218" s="99" t="str">
        <x:f>IF(U218="","",IF(U218="赤字",100,0)+IF(S218&gt;=90,50,0)+IF(P218&lt;0.15,30,0)+IF(E218&gt;=15,10,0))</x:f>
      </x:c>
      <x:c r="W218" s="101" t="str">
        <x:f>IF(U218="","",IF(U218="赤字","価格・原価・送料を再確認",IF(AND(S218&gt;=90,H218&lt;=2),"値下げ・再出品・仕入停止を検討",IF(P218&lt;0.15,"送料・手数料を見直す","継続観察"))))</x:f>
      </x:c>
    </x:row>
    <x:row r="219">
      <x:c r="A219" s="95"/>
      <x:c r="B219" s="95"/>
      <x:c r="C219" s="95"/>
      <x:c r="D219" s="95"/>
      <x:c r="E219" s="95"/>
      <x:c r="F219" s="96"/>
      <x:c r="G219" s="96"/>
      <x:c r="H219" s="95"/>
      <x:c r="I219" s="97"/>
      <x:c r="J219" s="97"/>
      <x:c r="K219" s="98"/>
      <x:c r="L219" s="97"/>
      <x:c r="M219" s="97"/>
      <x:c r="N219" s="99" t="str">
        <x:f>IF(OR(I219="",K219=""),"",I219*K219)</x:f>
      </x:c>
      <x:c r="O219" s="99" t="str">
        <x:f>IF(OR(I219="",J219="",N219="",L219="",M219=""),"",I219-J219-N219-L219-M219)</x:f>
      </x:c>
      <x:c r="P219" s="100" t="str">
        <x:f>IFERROR(O219/I219,"")</x:f>
      </x:c>
      <x:c r="Q219" s="99" t="str">
        <x:f>IF(OR(H219="",I219=""),"",H219*I219)</x:f>
      </x:c>
      <x:c r="R219" s="99" t="str">
        <x:f>IF(OR(H219="",O219=""),"",H219*O219)</x:f>
      </x:c>
      <x:c r="S219" s="99" t="str">
        <x:f>IF(G219="","",$B$2-G219)</x:f>
      </x:c>
      <x:c r="T219" s="99" t="str">
        <x:f>IF(S219="","",IF(S219&gt;=90,"90日以上",IF(S219&gt;=60,"60-89日","59日以下")))</x:f>
      </x:c>
      <x:c r="U219" s="99" t="str">
        <x:f>IF(O219="","",IF(O219&lt;0,"赤字",IF(AND(S219&gt;=90,H219&lt;=2),"要見直し",IF(P219&lt;0.15,"低利益","通常"))))</x:f>
      </x:c>
      <x:c r="V219" s="99" t="str">
        <x:f>IF(U219="","",IF(U219="赤字",100,0)+IF(S219&gt;=90,50,0)+IF(P219&lt;0.15,30,0)+IF(E219&gt;=15,10,0))</x:f>
      </x:c>
      <x:c r="W219" s="101" t="str">
        <x:f>IF(U219="","",IF(U219="赤字","価格・原価・送料を再確認",IF(AND(S219&gt;=90,H219&lt;=2),"値下げ・再出品・仕入停止を検討",IF(P219&lt;0.15,"送料・手数料を見直す","継続観察"))))</x:f>
      </x:c>
    </x:row>
    <x:row r="220">
      <x:c r="A220" s="95"/>
      <x:c r="B220" s="95"/>
      <x:c r="C220" s="95"/>
      <x:c r="D220" s="95"/>
      <x:c r="E220" s="95"/>
      <x:c r="F220" s="96"/>
      <x:c r="G220" s="96"/>
      <x:c r="H220" s="95"/>
      <x:c r="I220" s="97"/>
      <x:c r="J220" s="97"/>
      <x:c r="K220" s="98"/>
      <x:c r="L220" s="97"/>
      <x:c r="M220" s="97"/>
      <x:c r="N220" s="99" t="str">
        <x:f>IF(OR(I220="",K220=""),"",I220*K220)</x:f>
      </x:c>
      <x:c r="O220" s="99" t="str">
        <x:f>IF(OR(I220="",J220="",N220="",L220="",M220=""),"",I220-J220-N220-L220-M220)</x:f>
      </x:c>
      <x:c r="P220" s="100" t="str">
        <x:f>IFERROR(O220/I220,"")</x:f>
      </x:c>
      <x:c r="Q220" s="99" t="str">
        <x:f>IF(OR(H220="",I220=""),"",H220*I220)</x:f>
      </x:c>
      <x:c r="R220" s="99" t="str">
        <x:f>IF(OR(H220="",O220=""),"",H220*O220)</x:f>
      </x:c>
      <x:c r="S220" s="99" t="str">
        <x:f>IF(G220="","",$B$2-G220)</x:f>
      </x:c>
      <x:c r="T220" s="99" t="str">
        <x:f>IF(S220="","",IF(S220&gt;=90,"90日以上",IF(S220&gt;=60,"60-89日","59日以下")))</x:f>
      </x:c>
      <x:c r="U220" s="99" t="str">
        <x:f>IF(O220="","",IF(O220&lt;0,"赤字",IF(AND(S220&gt;=90,H220&lt;=2),"要見直し",IF(P220&lt;0.15,"低利益","通常"))))</x:f>
      </x:c>
      <x:c r="V220" s="99" t="str">
        <x:f>IF(U220="","",IF(U220="赤字",100,0)+IF(S220&gt;=90,50,0)+IF(P220&lt;0.15,30,0)+IF(E220&gt;=15,10,0))</x:f>
      </x:c>
      <x:c r="W220" s="101" t="str">
        <x:f>IF(U220="","",IF(U220="赤字","価格・原価・送料を再確認",IF(AND(S220&gt;=90,H220&lt;=2),"値下げ・再出品・仕入停止を検討",IF(P220&lt;0.15,"送料・手数料を見直す","継続観察"))))</x:f>
      </x:c>
    </x:row>
    <x:row r="221">
      <x:c r="A221" s="95"/>
      <x:c r="B221" s="95"/>
      <x:c r="C221" s="95"/>
      <x:c r="D221" s="95"/>
      <x:c r="E221" s="95"/>
      <x:c r="F221" s="96"/>
      <x:c r="G221" s="96"/>
      <x:c r="H221" s="95"/>
      <x:c r="I221" s="97"/>
      <x:c r="J221" s="97"/>
      <x:c r="K221" s="98"/>
      <x:c r="L221" s="97"/>
      <x:c r="M221" s="97"/>
      <x:c r="N221" s="99" t="str">
        <x:f>IF(OR(I221="",K221=""),"",I221*K221)</x:f>
      </x:c>
      <x:c r="O221" s="99" t="str">
        <x:f>IF(OR(I221="",J221="",N221="",L221="",M221=""),"",I221-J221-N221-L221-M221)</x:f>
      </x:c>
      <x:c r="P221" s="100" t="str">
        <x:f>IFERROR(O221/I221,"")</x:f>
      </x:c>
      <x:c r="Q221" s="99" t="str">
        <x:f>IF(OR(H221="",I221=""),"",H221*I221)</x:f>
      </x:c>
      <x:c r="R221" s="99" t="str">
        <x:f>IF(OR(H221="",O221=""),"",H221*O221)</x:f>
      </x:c>
      <x:c r="S221" s="99" t="str">
        <x:f>IF(G221="","",$B$2-G221)</x:f>
      </x:c>
      <x:c r="T221" s="99" t="str">
        <x:f>IF(S221="","",IF(S221&gt;=90,"90日以上",IF(S221&gt;=60,"60-89日","59日以下")))</x:f>
      </x:c>
      <x:c r="U221" s="99" t="str">
        <x:f>IF(O221="","",IF(O221&lt;0,"赤字",IF(AND(S221&gt;=90,H221&lt;=2),"要見直し",IF(P221&lt;0.15,"低利益","通常"))))</x:f>
      </x:c>
      <x:c r="V221" s="99" t="str">
        <x:f>IF(U221="","",IF(U221="赤字",100,0)+IF(S221&gt;=90,50,0)+IF(P221&lt;0.15,30,0)+IF(E221&gt;=15,10,0))</x:f>
      </x:c>
      <x:c r="W221" s="101" t="str">
        <x:f>IF(U221="","",IF(U221="赤字","価格・原価・送料を再確認",IF(AND(S221&gt;=90,H221&lt;=2),"値下げ・再出品・仕入停止を検討",IF(P221&lt;0.15,"送料・手数料を見直す","継続観察"))))</x:f>
      </x:c>
    </x:row>
    <x:row r="222">
      <x:c r="A222" s="95"/>
      <x:c r="B222" s="95"/>
      <x:c r="C222" s="95"/>
      <x:c r="D222" s="95"/>
      <x:c r="E222" s="95"/>
      <x:c r="F222" s="96"/>
      <x:c r="G222" s="96"/>
      <x:c r="H222" s="95"/>
      <x:c r="I222" s="97"/>
      <x:c r="J222" s="97"/>
      <x:c r="K222" s="98"/>
      <x:c r="L222" s="97"/>
      <x:c r="M222" s="97"/>
      <x:c r="N222" s="99" t="str">
        <x:f>IF(OR(I222="",K222=""),"",I222*K222)</x:f>
      </x:c>
      <x:c r="O222" s="99" t="str">
        <x:f>IF(OR(I222="",J222="",N222="",L222="",M222=""),"",I222-J222-N222-L222-M222)</x:f>
      </x:c>
      <x:c r="P222" s="100" t="str">
        <x:f>IFERROR(O222/I222,"")</x:f>
      </x:c>
      <x:c r="Q222" s="99" t="str">
        <x:f>IF(OR(H222="",I222=""),"",H222*I222)</x:f>
      </x:c>
      <x:c r="R222" s="99" t="str">
        <x:f>IF(OR(H222="",O222=""),"",H222*O222)</x:f>
      </x:c>
      <x:c r="S222" s="99" t="str">
        <x:f>IF(G222="","",$B$2-G222)</x:f>
      </x:c>
      <x:c r="T222" s="99" t="str">
        <x:f>IF(S222="","",IF(S222&gt;=90,"90日以上",IF(S222&gt;=60,"60-89日","59日以下")))</x:f>
      </x:c>
      <x:c r="U222" s="99" t="str">
        <x:f>IF(O222="","",IF(O222&lt;0,"赤字",IF(AND(S222&gt;=90,H222&lt;=2),"要見直し",IF(P222&lt;0.15,"低利益","通常"))))</x:f>
      </x:c>
      <x:c r="V222" s="99" t="str">
        <x:f>IF(U222="","",IF(U222="赤字",100,0)+IF(S222&gt;=90,50,0)+IF(P222&lt;0.15,30,0)+IF(E222&gt;=15,10,0))</x:f>
      </x:c>
      <x:c r="W222" s="101" t="str">
        <x:f>IF(U222="","",IF(U222="赤字","価格・原価・送料を再確認",IF(AND(S222&gt;=90,H222&lt;=2),"値下げ・再出品・仕入停止を検討",IF(P222&lt;0.15,"送料・手数料を見直す","継続観察"))))</x:f>
      </x:c>
    </x:row>
    <x:row r="223">
      <x:c r="A223" s="95"/>
      <x:c r="B223" s="95"/>
      <x:c r="C223" s="95"/>
      <x:c r="D223" s="95"/>
      <x:c r="E223" s="95"/>
      <x:c r="F223" s="96"/>
      <x:c r="G223" s="96"/>
      <x:c r="H223" s="95"/>
      <x:c r="I223" s="97"/>
      <x:c r="J223" s="97"/>
      <x:c r="K223" s="98"/>
      <x:c r="L223" s="97"/>
      <x:c r="M223" s="97"/>
      <x:c r="N223" s="99" t="str">
        <x:f>IF(OR(I223="",K223=""),"",I223*K223)</x:f>
      </x:c>
      <x:c r="O223" s="99" t="str">
        <x:f>IF(OR(I223="",J223="",N223="",L223="",M223=""),"",I223-J223-N223-L223-M223)</x:f>
      </x:c>
      <x:c r="P223" s="100" t="str">
        <x:f>IFERROR(O223/I223,"")</x:f>
      </x:c>
      <x:c r="Q223" s="99" t="str">
        <x:f>IF(OR(H223="",I223=""),"",H223*I223)</x:f>
      </x:c>
      <x:c r="R223" s="99" t="str">
        <x:f>IF(OR(H223="",O223=""),"",H223*O223)</x:f>
      </x:c>
      <x:c r="S223" s="99" t="str">
        <x:f>IF(G223="","",$B$2-G223)</x:f>
      </x:c>
      <x:c r="T223" s="99" t="str">
        <x:f>IF(S223="","",IF(S223&gt;=90,"90日以上",IF(S223&gt;=60,"60-89日","59日以下")))</x:f>
      </x:c>
      <x:c r="U223" s="99" t="str">
        <x:f>IF(O223="","",IF(O223&lt;0,"赤字",IF(AND(S223&gt;=90,H223&lt;=2),"要見直し",IF(P223&lt;0.15,"低利益","通常"))))</x:f>
      </x:c>
      <x:c r="V223" s="99" t="str">
        <x:f>IF(U223="","",IF(U223="赤字",100,0)+IF(S223&gt;=90,50,0)+IF(P223&lt;0.15,30,0)+IF(E223&gt;=15,10,0))</x:f>
      </x:c>
      <x:c r="W223" s="101" t="str">
        <x:f>IF(U223="","",IF(U223="赤字","価格・原価・送料を再確認",IF(AND(S223&gt;=90,H223&lt;=2),"値下げ・再出品・仕入停止を検討",IF(P223&lt;0.15,"送料・手数料を見直す","継続観察"))))</x:f>
      </x:c>
    </x:row>
    <x:row r="224">
      <x:c r="A224" s="95"/>
      <x:c r="B224" s="95"/>
      <x:c r="C224" s="95"/>
      <x:c r="D224" s="95"/>
      <x:c r="E224" s="95"/>
      <x:c r="F224" s="96"/>
      <x:c r="G224" s="96"/>
      <x:c r="H224" s="95"/>
      <x:c r="I224" s="97"/>
      <x:c r="J224" s="97"/>
      <x:c r="K224" s="98"/>
      <x:c r="L224" s="97"/>
      <x:c r="M224" s="97"/>
      <x:c r="N224" s="99" t="str">
        <x:f>IF(OR(I224="",K224=""),"",I224*K224)</x:f>
      </x:c>
      <x:c r="O224" s="99" t="str">
        <x:f>IF(OR(I224="",J224="",N224="",L224="",M224=""),"",I224-J224-N224-L224-M224)</x:f>
      </x:c>
      <x:c r="P224" s="100" t="str">
        <x:f>IFERROR(O224/I224,"")</x:f>
      </x:c>
      <x:c r="Q224" s="99" t="str">
        <x:f>IF(OR(H224="",I224=""),"",H224*I224)</x:f>
      </x:c>
      <x:c r="R224" s="99" t="str">
        <x:f>IF(OR(H224="",O224=""),"",H224*O224)</x:f>
      </x:c>
      <x:c r="S224" s="99" t="str">
        <x:f>IF(G224="","",$B$2-G224)</x:f>
      </x:c>
      <x:c r="T224" s="99" t="str">
        <x:f>IF(S224="","",IF(S224&gt;=90,"90日以上",IF(S224&gt;=60,"60-89日","59日以下")))</x:f>
      </x:c>
      <x:c r="U224" s="99" t="str">
        <x:f>IF(O224="","",IF(O224&lt;0,"赤字",IF(AND(S224&gt;=90,H224&lt;=2),"要見直し",IF(P224&lt;0.15,"低利益","通常"))))</x:f>
      </x:c>
      <x:c r="V224" s="99" t="str">
        <x:f>IF(U224="","",IF(U224="赤字",100,0)+IF(S224&gt;=90,50,0)+IF(P224&lt;0.15,30,0)+IF(E224&gt;=15,10,0))</x:f>
      </x:c>
      <x:c r="W224" s="101" t="str">
        <x:f>IF(U224="","",IF(U224="赤字","価格・原価・送料を再確認",IF(AND(S224&gt;=90,H224&lt;=2),"値下げ・再出品・仕入停止を検討",IF(P224&lt;0.15,"送料・手数料を見直す","継続観察"))))</x:f>
      </x:c>
    </x:row>
    <x:row r="225">
      <x:c r="A225" s="95"/>
      <x:c r="B225" s="95"/>
      <x:c r="C225" s="95"/>
      <x:c r="D225" s="95"/>
      <x:c r="E225" s="95"/>
      <x:c r="F225" s="96"/>
      <x:c r="G225" s="96"/>
      <x:c r="H225" s="95"/>
      <x:c r="I225" s="97"/>
      <x:c r="J225" s="97"/>
      <x:c r="K225" s="98"/>
      <x:c r="L225" s="97"/>
      <x:c r="M225" s="97"/>
      <x:c r="N225" s="99" t="str">
        <x:f>IF(OR(I225="",K225=""),"",I225*K225)</x:f>
      </x:c>
      <x:c r="O225" s="99" t="str">
        <x:f>IF(OR(I225="",J225="",N225="",L225="",M225=""),"",I225-J225-N225-L225-M225)</x:f>
      </x:c>
      <x:c r="P225" s="100" t="str">
        <x:f>IFERROR(O225/I225,"")</x:f>
      </x:c>
      <x:c r="Q225" s="99" t="str">
        <x:f>IF(OR(H225="",I225=""),"",H225*I225)</x:f>
      </x:c>
      <x:c r="R225" s="99" t="str">
        <x:f>IF(OR(H225="",O225=""),"",H225*O225)</x:f>
      </x:c>
      <x:c r="S225" s="99" t="str">
        <x:f>IF(G225="","",$B$2-G225)</x:f>
      </x:c>
      <x:c r="T225" s="99" t="str">
        <x:f>IF(S225="","",IF(S225&gt;=90,"90日以上",IF(S225&gt;=60,"60-89日","59日以下")))</x:f>
      </x:c>
      <x:c r="U225" s="99" t="str">
        <x:f>IF(O225="","",IF(O225&lt;0,"赤字",IF(AND(S225&gt;=90,H225&lt;=2),"要見直し",IF(P225&lt;0.15,"低利益","通常"))))</x:f>
      </x:c>
      <x:c r="V225" s="99" t="str">
        <x:f>IF(U225="","",IF(U225="赤字",100,0)+IF(S225&gt;=90,50,0)+IF(P225&lt;0.15,30,0)+IF(E225&gt;=15,10,0))</x:f>
      </x:c>
      <x:c r="W225" s="101" t="str">
        <x:f>IF(U225="","",IF(U225="赤字","価格・原価・送料を再確認",IF(AND(S225&gt;=90,H225&lt;=2),"値下げ・再出品・仕入停止を検討",IF(P225&lt;0.15,"送料・手数料を見直す","継続観察"))))</x:f>
      </x:c>
    </x:row>
    <x:row r="226">
      <x:c r="A226" s="95"/>
      <x:c r="B226" s="95"/>
      <x:c r="C226" s="95"/>
      <x:c r="D226" s="95"/>
      <x:c r="E226" s="95"/>
      <x:c r="F226" s="96"/>
      <x:c r="G226" s="96"/>
      <x:c r="H226" s="95"/>
      <x:c r="I226" s="97"/>
      <x:c r="J226" s="97"/>
      <x:c r="K226" s="98"/>
      <x:c r="L226" s="97"/>
      <x:c r="M226" s="97"/>
      <x:c r="N226" s="99" t="str">
        <x:f>IF(OR(I226="",K226=""),"",I226*K226)</x:f>
      </x:c>
      <x:c r="O226" s="99" t="str">
        <x:f>IF(OR(I226="",J226="",N226="",L226="",M226=""),"",I226-J226-N226-L226-M226)</x:f>
      </x:c>
      <x:c r="P226" s="100" t="str">
        <x:f>IFERROR(O226/I226,"")</x:f>
      </x:c>
      <x:c r="Q226" s="99" t="str">
        <x:f>IF(OR(H226="",I226=""),"",H226*I226)</x:f>
      </x:c>
      <x:c r="R226" s="99" t="str">
        <x:f>IF(OR(H226="",O226=""),"",H226*O226)</x:f>
      </x:c>
      <x:c r="S226" s="99" t="str">
        <x:f>IF(G226="","",$B$2-G226)</x:f>
      </x:c>
      <x:c r="T226" s="99" t="str">
        <x:f>IF(S226="","",IF(S226&gt;=90,"90日以上",IF(S226&gt;=60,"60-89日","59日以下")))</x:f>
      </x:c>
      <x:c r="U226" s="99" t="str">
        <x:f>IF(O226="","",IF(O226&lt;0,"赤字",IF(AND(S226&gt;=90,H226&lt;=2),"要見直し",IF(P226&lt;0.15,"低利益","通常"))))</x:f>
      </x:c>
      <x:c r="V226" s="99" t="str">
        <x:f>IF(U226="","",IF(U226="赤字",100,0)+IF(S226&gt;=90,50,0)+IF(P226&lt;0.15,30,0)+IF(E226&gt;=15,10,0))</x:f>
      </x:c>
      <x:c r="W226" s="101" t="str">
        <x:f>IF(U226="","",IF(U226="赤字","価格・原価・送料を再確認",IF(AND(S226&gt;=90,H226&lt;=2),"値下げ・再出品・仕入停止を検討",IF(P226&lt;0.15,"送料・手数料を見直す","継続観察"))))</x:f>
      </x:c>
    </x:row>
    <x:row r="227">
      <x:c r="A227" s="95"/>
      <x:c r="B227" s="95"/>
      <x:c r="C227" s="95"/>
      <x:c r="D227" s="95"/>
      <x:c r="E227" s="95"/>
      <x:c r="F227" s="96"/>
      <x:c r="G227" s="96"/>
      <x:c r="H227" s="95"/>
      <x:c r="I227" s="97"/>
      <x:c r="J227" s="97"/>
      <x:c r="K227" s="98"/>
      <x:c r="L227" s="97"/>
      <x:c r="M227" s="97"/>
      <x:c r="N227" s="99" t="str">
        <x:f>IF(OR(I227="",K227=""),"",I227*K227)</x:f>
      </x:c>
      <x:c r="O227" s="99" t="str">
        <x:f>IF(OR(I227="",J227="",N227="",L227="",M227=""),"",I227-J227-N227-L227-M227)</x:f>
      </x:c>
      <x:c r="P227" s="100" t="str">
        <x:f>IFERROR(O227/I227,"")</x:f>
      </x:c>
      <x:c r="Q227" s="99" t="str">
        <x:f>IF(OR(H227="",I227=""),"",H227*I227)</x:f>
      </x:c>
      <x:c r="R227" s="99" t="str">
        <x:f>IF(OR(H227="",O227=""),"",H227*O227)</x:f>
      </x:c>
      <x:c r="S227" s="99" t="str">
        <x:f>IF(G227="","",$B$2-G227)</x:f>
      </x:c>
      <x:c r="T227" s="99" t="str">
        <x:f>IF(S227="","",IF(S227&gt;=90,"90日以上",IF(S227&gt;=60,"60-89日","59日以下")))</x:f>
      </x:c>
      <x:c r="U227" s="99" t="str">
        <x:f>IF(O227="","",IF(O227&lt;0,"赤字",IF(AND(S227&gt;=90,H227&lt;=2),"要見直し",IF(P227&lt;0.15,"低利益","通常"))))</x:f>
      </x:c>
      <x:c r="V227" s="99" t="str">
        <x:f>IF(U227="","",IF(U227="赤字",100,0)+IF(S227&gt;=90,50,0)+IF(P227&lt;0.15,30,0)+IF(E227&gt;=15,10,0))</x:f>
      </x:c>
      <x:c r="W227" s="101" t="str">
        <x:f>IF(U227="","",IF(U227="赤字","価格・原価・送料を再確認",IF(AND(S227&gt;=90,H227&lt;=2),"値下げ・再出品・仕入停止を検討",IF(P227&lt;0.15,"送料・手数料を見直す","継続観察"))))</x:f>
      </x:c>
    </x:row>
    <x:row r="228">
      <x:c r="A228" s="95"/>
      <x:c r="B228" s="95"/>
      <x:c r="C228" s="95"/>
      <x:c r="D228" s="95"/>
      <x:c r="E228" s="95"/>
      <x:c r="F228" s="96"/>
      <x:c r="G228" s="96"/>
      <x:c r="H228" s="95"/>
      <x:c r="I228" s="97"/>
      <x:c r="J228" s="97"/>
      <x:c r="K228" s="98"/>
      <x:c r="L228" s="97"/>
      <x:c r="M228" s="97"/>
      <x:c r="N228" s="99" t="str">
        <x:f>IF(OR(I228="",K228=""),"",I228*K228)</x:f>
      </x:c>
      <x:c r="O228" s="99" t="str">
        <x:f>IF(OR(I228="",J228="",N228="",L228="",M228=""),"",I228-J228-N228-L228-M228)</x:f>
      </x:c>
      <x:c r="P228" s="100" t="str">
        <x:f>IFERROR(O228/I228,"")</x:f>
      </x:c>
      <x:c r="Q228" s="99" t="str">
        <x:f>IF(OR(H228="",I228=""),"",H228*I228)</x:f>
      </x:c>
      <x:c r="R228" s="99" t="str">
        <x:f>IF(OR(H228="",O228=""),"",H228*O228)</x:f>
      </x:c>
      <x:c r="S228" s="99" t="str">
        <x:f>IF(G228="","",$B$2-G228)</x:f>
      </x:c>
      <x:c r="T228" s="99" t="str">
        <x:f>IF(S228="","",IF(S228&gt;=90,"90日以上",IF(S228&gt;=60,"60-89日","59日以下")))</x:f>
      </x:c>
      <x:c r="U228" s="99" t="str">
        <x:f>IF(O228="","",IF(O228&lt;0,"赤字",IF(AND(S228&gt;=90,H228&lt;=2),"要見直し",IF(P228&lt;0.15,"低利益","通常"))))</x:f>
      </x:c>
      <x:c r="V228" s="99" t="str">
        <x:f>IF(U228="","",IF(U228="赤字",100,0)+IF(S228&gt;=90,50,0)+IF(P228&lt;0.15,30,0)+IF(E228&gt;=15,10,0))</x:f>
      </x:c>
      <x:c r="W228" s="101" t="str">
        <x:f>IF(U228="","",IF(U228="赤字","価格・原価・送料を再確認",IF(AND(S228&gt;=90,H228&lt;=2),"値下げ・再出品・仕入停止を検討",IF(P228&lt;0.15,"送料・手数料を見直す","継続観察"))))</x:f>
      </x:c>
    </x:row>
    <x:row r="229">
      <x:c r="A229" s="95"/>
      <x:c r="B229" s="95"/>
      <x:c r="C229" s="95"/>
      <x:c r="D229" s="95"/>
      <x:c r="E229" s="95"/>
      <x:c r="F229" s="96"/>
      <x:c r="G229" s="96"/>
      <x:c r="H229" s="95"/>
      <x:c r="I229" s="97"/>
      <x:c r="J229" s="97"/>
      <x:c r="K229" s="98"/>
      <x:c r="L229" s="97"/>
      <x:c r="M229" s="97"/>
      <x:c r="N229" s="99" t="str">
        <x:f>IF(OR(I229="",K229=""),"",I229*K229)</x:f>
      </x:c>
      <x:c r="O229" s="99" t="str">
        <x:f>IF(OR(I229="",J229="",N229="",L229="",M229=""),"",I229-J229-N229-L229-M229)</x:f>
      </x:c>
      <x:c r="P229" s="100" t="str">
        <x:f>IFERROR(O229/I229,"")</x:f>
      </x:c>
      <x:c r="Q229" s="99" t="str">
        <x:f>IF(OR(H229="",I229=""),"",H229*I229)</x:f>
      </x:c>
      <x:c r="R229" s="99" t="str">
        <x:f>IF(OR(H229="",O229=""),"",H229*O229)</x:f>
      </x:c>
      <x:c r="S229" s="99" t="str">
        <x:f>IF(G229="","",$B$2-G229)</x:f>
      </x:c>
      <x:c r="T229" s="99" t="str">
        <x:f>IF(S229="","",IF(S229&gt;=90,"90日以上",IF(S229&gt;=60,"60-89日","59日以下")))</x:f>
      </x:c>
      <x:c r="U229" s="99" t="str">
        <x:f>IF(O229="","",IF(O229&lt;0,"赤字",IF(AND(S229&gt;=90,H229&lt;=2),"要見直し",IF(P229&lt;0.15,"低利益","通常"))))</x:f>
      </x:c>
      <x:c r="V229" s="99" t="str">
        <x:f>IF(U229="","",IF(U229="赤字",100,0)+IF(S229&gt;=90,50,0)+IF(P229&lt;0.15,30,0)+IF(E229&gt;=15,10,0))</x:f>
      </x:c>
      <x:c r="W229" s="101" t="str">
        <x:f>IF(U229="","",IF(U229="赤字","価格・原価・送料を再確認",IF(AND(S229&gt;=90,H229&lt;=2),"値下げ・再出品・仕入停止を検討",IF(P229&lt;0.15,"送料・手数料を見直す","継続観察"))))</x:f>
      </x:c>
    </x:row>
    <x:row r="230">
      <x:c r="A230" s="95"/>
      <x:c r="B230" s="95"/>
      <x:c r="C230" s="95"/>
      <x:c r="D230" s="95"/>
      <x:c r="E230" s="95"/>
      <x:c r="F230" s="96"/>
      <x:c r="G230" s="96"/>
      <x:c r="H230" s="95"/>
      <x:c r="I230" s="97"/>
      <x:c r="J230" s="97"/>
      <x:c r="K230" s="98"/>
      <x:c r="L230" s="97"/>
      <x:c r="M230" s="97"/>
      <x:c r="N230" s="99" t="str">
        <x:f>IF(OR(I230="",K230=""),"",I230*K230)</x:f>
      </x:c>
      <x:c r="O230" s="99" t="str">
        <x:f>IF(OR(I230="",J230="",N230="",L230="",M230=""),"",I230-J230-N230-L230-M230)</x:f>
      </x:c>
      <x:c r="P230" s="100" t="str">
        <x:f>IFERROR(O230/I230,"")</x:f>
      </x:c>
      <x:c r="Q230" s="99" t="str">
        <x:f>IF(OR(H230="",I230=""),"",H230*I230)</x:f>
      </x:c>
      <x:c r="R230" s="99" t="str">
        <x:f>IF(OR(H230="",O230=""),"",H230*O230)</x:f>
      </x:c>
      <x:c r="S230" s="99" t="str">
        <x:f>IF(G230="","",$B$2-G230)</x:f>
      </x:c>
      <x:c r="T230" s="99" t="str">
        <x:f>IF(S230="","",IF(S230&gt;=90,"90日以上",IF(S230&gt;=60,"60-89日","59日以下")))</x:f>
      </x:c>
      <x:c r="U230" s="99" t="str">
        <x:f>IF(O230="","",IF(O230&lt;0,"赤字",IF(AND(S230&gt;=90,H230&lt;=2),"要見直し",IF(P230&lt;0.15,"低利益","通常"))))</x:f>
      </x:c>
      <x:c r="V230" s="99" t="str">
        <x:f>IF(U230="","",IF(U230="赤字",100,0)+IF(S230&gt;=90,50,0)+IF(P230&lt;0.15,30,0)+IF(E230&gt;=15,10,0))</x:f>
      </x:c>
      <x:c r="W230" s="101" t="str">
        <x:f>IF(U230="","",IF(U230="赤字","価格・原価・送料を再確認",IF(AND(S230&gt;=90,H230&lt;=2),"値下げ・再出品・仕入停止を検討",IF(P230&lt;0.15,"送料・手数料を見直す","継続観察"))))</x:f>
      </x:c>
    </x:row>
    <x:row r="231">
      <x:c r="A231" s="95"/>
      <x:c r="B231" s="95"/>
      <x:c r="C231" s="95"/>
      <x:c r="D231" s="95"/>
      <x:c r="E231" s="95"/>
      <x:c r="F231" s="96"/>
      <x:c r="G231" s="96"/>
      <x:c r="H231" s="95"/>
      <x:c r="I231" s="97"/>
      <x:c r="J231" s="97"/>
      <x:c r="K231" s="98"/>
      <x:c r="L231" s="97"/>
      <x:c r="M231" s="97"/>
      <x:c r="N231" s="99" t="str">
        <x:f>IF(OR(I231="",K231=""),"",I231*K231)</x:f>
      </x:c>
      <x:c r="O231" s="99" t="str">
        <x:f>IF(OR(I231="",J231="",N231="",L231="",M231=""),"",I231-J231-N231-L231-M231)</x:f>
      </x:c>
      <x:c r="P231" s="100" t="str">
        <x:f>IFERROR(O231/I231,"")</x:f>
      </x:c>
      <x:c r="Q231" s="99" t="str">
        <x:f>IF(OR(H231="",I231=""),"",H231*I231)</x:f>
      </x:c>
      <x:c r="R231" s="99" t="str">
        <x:f>IF(OR(H231="",O231=""),"",H231*O231)</x:f>
      </x:c>
      <x:c r="S231" s="99" t="str">
        <x:f>IF(G231="","",$B$2-G231)</x:f>
      </x:c>
      <x:c r="T231" s="99" t="str">
        <x:f>IF(S231="","",IF(S231&gt;=90,"90日以上",IF(S231&gt;=60,"60-89日","59日以下")))</x:f>
      </x:c>
      <x:c r="U231" s="99" t="str">
        <x:f>IF(O231="","",IF(O231&lt;0,"赤字",IF(AND(S231&gt;=90,H231&lt;=2),"要見直し",IF(P231&lt;0.15,"低利益","通常"))))</x:f>
      </x:c>
      <x:c r="V231" s="99" t="str">
        <x:f>IF(U231="","",IF(U231="赤字",100,0)+IF(S231&gt;=90,50,0)+IF(P231&lt;0.15,30,0)+IF(E231&gt;=15,10,0))</x:f>
      </x:c>
      <x:c r="W231" s="101" t="str">
        <x:f>IF(U231="","",IF(U231="赤字","価格・原価・送料を再確認",IF(AND(S231&gt;=90,H231&lt;=2),"値下げ・再出品・仕入停止を検討",IF(P231&lt;0.15,"送料・手数料を見直す","継続観察"))))</x:f>
      </x:c>
    </x:row>
    <x:row r="232">
      <x:c r="A232" s="95"/>
      <x:c r="B232" s="95"/>
      <x:c r="C232" s="95"/>
      <x:c r="D232" s="95"/>
      <x:c r="E232" s="95"/>
      <x:c r="F232" s="96"/>
      <x:c r="G232" s="96"/>
      <x:c r="H232" s="95"/>
      <x:c r="I232" s="97"/>
      <x:c r="J232" s="97"/>
      <x:c r="K232" s="98"/>
      <x:c r="L232" s="97"/>
      <x:c r="M232" s="97"/>
      <x:c r="N232" s="99" t="str">
        <x:f>IF(OR(I232="",K232=""),"",I232*K232)</x:f>
      </x:c>
      <x:c r="O232" s="99" t="str">
        <x:f>IF(OR(I232="",J232="",N232="",L232="",M232=""),"",I232-J232-N232-L232-M232)</x:f>
      </x:c>
      <x:c r="P232" s="100" t="str">
        <x:f>IFERROR(O232/I232,"")</x:f>
      </x:c>
      <x:c r="Q232" s="99" t="str">
        <x:f>IF(OR(H232="",I232=""),"",H232*I232)</x:f>
      </x:c>
      <x:c r="R232" s="99" t="str">
        <x:f>IF(OR(H232="",O232=""),"",H232*O232)</x:f>
      </x:c>
      <x:c r="S232" s="99" t="str">
        <x:f>IF(G232="","",$B$2-G232)</x:f>
      </x:c>
      <x:c r="T232" s="99" t="str">
        <x:f>IF(S232="","",IF(S232&gt;=90,"90日以上",IF(S232&gt;=60,"60-89日","59日以下")))</x:f>
      </x:c>
      <x:c r="U232" s="99" t="str">
        <x:f>IF(O232="","",IF(O232&lt;0,"赤字",IF(AND(S232&gt;=90,H232&lt;=2),"要見直し",IF(P232&lt;0.15,"低利益","通常"))))</x:f>
      </x:c>
      <x:c r="V232" s="99" t="str">
        <x:f>IF(U232="","",IF(U232="赤字",100,0)+IF(S232&gt;=90,50,0)+IF(P232&lt;0.15,30,0)+IF(E232&gt;=15,10,0))</x:f>
      </x:c>
      <x:c r="W232" s="101" t="str">
        <x:f>IF(U232="","",IF(U232="赤字","価格・原価・送料を再確認",IF(AND(S232&gt;=90,H232&lt;=2),"値下げ・再出品・仕入停止を検討",IF(P232&lt;0.15,"送料・手数料を見直す","継続観察"))))</x:f>
      </x:c>
    </x:row>
    <x:row r="233">
      <x:c r="A233" s="95"/>
      <x:c r="B233" s="95"/>
      <x:c r="C233" s="95"/>
      <x:c r="D233" s="95"/>
      <x:c r="E233" s="95"/>
      <x:c r="F233" s="96"/>
      <x:c r="G233" s="96"/>
      <x:c r="H233" s="95"/>
      <x:c r="I233" s="97"/>
      <x:c r="J233" s="97"/>
      <x:c r="K233" s="98"/>
      <x:c r="L233" s="97"/>
      <x:c r="M233" s="97"/>
      <x:c r="N233" s="99" t="str">
        <x:f>IF(OR(I233="",K233=""),"",I233*K233)</x:f>
      </x:c>
      <x:c r="O233" s="99" t="str">
        <x:f>IF(OR(I233="",J233="",N233="",L233="",M233=""),"",I233-J233-N233-L233-M233)</x:f>
      </x:c>
      <x:c r="P233" s="100" t="str">
        <x:f>IFERROR(O233/I233,"")</x:f>
      </x:c>
      <x:c r="Q233" s="99" t="str">
        <x:f>IF(OR(H233="",I233=""),"",H233*I233)</x:f>
      </x:c>
      <x:c r="R233" s="99" t="str">
        <x:f>IF(OR(H233="",O233=""),"",H233*O233)</x:f>
      </x:c>
      <x:c r="S233" s="99" t="str">
        <x:f>IF(G233="","",$B$2-G233)</x:f>
      </x:c>
      <x:c r="T233" s="99" t="str">
        <x:f>IF(S233="","",IF(S233&gt;=90,"90日以上",IF(S233&gt;=60,"60-89日","59日以下")))</x:f>
      </x:c>
      <x:c r="U233" s="99" t="str">
        <x:f>IF(O233="","",IF(O233&lt;0,"赤字",IF(AND(S233&gt;=90,H233&lt;=2),"要見直し",IF(P233&lt;0.15,"低利益","通常"))))</x:f>
      </x:c>
      <x:c r="V233" s="99" t="str">
        <x:f>IF(U233="","",IF(U233="赤字",100,0)+IF(S233&gt;=90,50,0)+IF(P233&lt;0.15,30,0)+IF(E233&gt;=15,10,0))</x:f>
      </x:c>
      <x:c r="W233" s="101" t="str">
        <x:f>IF(U233="","",IF(U233="赤字","価格・原価・送料を再確認",IF(AND(S233&gt;=90,H233&lt;=2),"値下げ・再出品・仕入停止を検討",IF(P233&lt;0.15,"送料・手数料を見直す","継続観察"))))</x:f>
      </x:c>
    </x:row>
    <x:row r="234">
      <x:c r="A234" s="95"/>
      <x:c r="B234" s="95"/>
      <x:c r="C234" s="95"/>
      <x:c r="D234" s="95"/>
      <x:c r="E234" s="95"/>
      <x:c r="F234" s="96"/>
      <x:c r="G234" s="96"/>
      <x:c r="H234" s="95"/>
      <x:c r="I234" s="97"/>
      <x:c r="J234" s="97"/>
      <x:c r="K234" s="98"/>
      <x:c r="L234" s="97"/>
      <x:c r="M234" s="97"/>
      <x:c r="N234" s="99" t="str">
        <x:f>IF(OR(I234="",K234=""),"",I234*K234)</x:f>
      </x:c>
      <x:c r="O234" s="99" t="str">
        <x:f>IF(OR(I234="",J234="",N234="",L234="",M234=""),"",I234-J234-N234-L234-M234)</x:f>
      </x:c>
      <x:c r="P234" s="100" t="str">
        <x:f>IFERROR(O234/I234,"")</x:f>
      </x:c>
      <x:c r="Q234" s="99" t="str">
        <x:f>IF(OR(H234="",I234=""),"",H234*I234)</x:f>
      </x:c>
      <x:c r="R234" s="99" t="str">
        <x:f>IF(OR(H234="",O234=""),"",H234*O234)</x:f>
      </x:c>
      <x:c r="S234" s="99" t="str">
        <x:f>IF(G234="","",$B$2-G234)</x:f>
      </x:c>
      <x:c r="T234" s="99" t="str">
        <x:f>IF(S234="","",IF(S234&gt;=90,"90日以上",IF(S234&gt;=60,"60-89日","59日以下")))</x:f>
      </x:c>
      <x:c r="U234" s="99" t="str">
        <x:f>IF(O234="","",IF(O234&lt;0,"赤字",IF(AND(S234&gt;=90,H234&lt;=2),"要見直し",IF(P234&lt;0.15,"低利益","通常"))))</x:f>
      </x:c>
      <x:c r="V234" s="99" t="str">
        <x:f>IF(U234="","",IF(U234="赤字",100,0)+IF(S234&gt;=90,50,0)+IF(P234&lt;0.15,30,0)+IF(E234&gt;=15,10,0))</x:f>
      </x:c>
      <x:c r="W234" s="101" t="str">
        <x:f>IF(U234="","",IF(U234="赤字","価格・原価・送料を再確認",IF(AND(S234&gt;=90,H234&lt;=2),"値下げ・再出品・仕入停止を検討",IF(P234&lt;0.15,"送料・手数料を見直す","継続観察"))))</x:f>
      </x:c>
    </x:row>
    <x:row r="235">
      <x:c r="A235" s="95"/>
      <x:c r="B235" s="95"/>
      <x:c r="C235" s="95"/>
      <x:c r="D235" s="95"/>
      <x:c r="E235" s="95"/>
      <x:c r="F235" s="96"/>
      <x:c r="G235" s="96"/>
      <x:c r="H235" s="95"/>
      <x:c r="I235" s="97"/>
      <x:c r="J235" s="97"/>
      <x:c r="K235" s="98"/>
      <x:c r="L235" s="97"/>
      <x:c r="M235" s="97"/>
      <x:c r="N235" s="99" t="str">
        <x:f>IF(OR(I235="",K235=""),"",I235*K235)</x:f>
      </x:c>
      <x:c r="O235" s="99" t="str">
        <x:f>IF(OR(I235="",J235="",N235="",L235="",M235=""),"",I235-J235-N235-L235-M235)</x:f>
      </x:c>
      <x:c r="P235" s="100" t="str">
        <x:f>IFERROR(O235/I235,"")</x:f>
      </x:c>
      <x:c r="Q235" s="99" t="str">
        <x:f>IF(OR(H235="",I235=""),"",H235*I235)</x:f>
      </x:c>
      <x:c r="R235" s="99" t="str">
        <x:f>IF(OR(H235="",O235=""),"",H235*O235)</x:f>
      </x:c>
      <x:c r="S235" s="99" t="str">
        <x:f>IF(G235="","",$B$2-G235)</x:f>
      </x:c>
      <x:c r="T235" s="99" t="str">
        <x:f>IF(S235="","",IF(S235&gt;=90,"90日以上",IF(S235&gt;=60,"60-89日","59日以下")))</x:f>
      </x:c>
      <x:c r="U235" s="99" t="str">
        <x:f>IF(O235="","",IF(O235&lt;0,"赤字",IF(AND(S235&gt;=90,H235&lt;=2),"要見直し",IF(P235&lt;0.15,"低利益","通常"))))</x:f>
      </x:c>
      <x:c r="V235" s="99" t="str">
        <x:f>IF(U235="","",IF(U235="赤字",100,0)+IF(S235&gt;=90,50,0)+IF(P235&lt;0.15,30,0)+IF(E235&gt;=15,10,0))</x:f>
      </x:c>
      <x:c r="W235" s="101" t="str">
        <x:f>IF(U235="","",IF(U235="赤字","価格・原価・送料を再確認",IF(AND(S235&gt;=90,H235&lt;=2),"値下げ・再出品・仕入停止を検討",IF(P235&lt;0.15,"送料・手数料を見直す","継続観察"))))</x:f>
      </x:c>
    </x:row>
    <x:row r="236">
      <x:c r="A236" s="95"/>
      <x:c r="B236" s="95"/>
      <x:c r="C236" s="95"/>
      <x:c r="D236" s="95"/>
      <x:c r="E236" s="95"/>
      <x:c r="F236" s="96"/>
      <x:c r="G236" s="96"/>
      <x:c r="H236" s="95"/>
      <x:c r="I236" s="97"/>
      <x:c r="J236" s="97"/>
      <x:c r="K236" s="98"/>
      <x:c r="L236" s="97"/>
      <x:c r="M236" s="97"/>
      <x:c r="N236" s="99" t="str">
        <x:f>IF(OR(I236="",K236=""),"",I236*K236)</x:f>
      </x:c>
      <x:c r="O236" s="99" t="str">
        <x:f>IF(OR(I236="",J236="",N236="",L236="",M236=""),"",I236-J236-N236-L236-M236)</x:f>
      </x:c>
      <x:c r="P236" s="100" t="str">
        <x:f>IFERROR(O236/I236,"")</x:f>
      </x:c>
      <x:c r="Q236" s="99" t="str">
        <x:f>IF(OR(H236="",I236=""),"",H236*I236)</x:f>
      </x:c>
      <x:c r="R236" s="99" t="str">
        <x:f>IF(OR(H236="",O236=""),"",H236*O236)</x:f>
      </x:c>
      <x:c r="S236" s="99" t="str">
        <x:f>IF(G236="","",$B$2-G236)</x:f>
      </x:c>
      <x:c r="T236" s="99" t="str">
        <x:f>IF(S236="","",IF(S236&gt;=90,"90日以上",IF(S236&gt;=60,"60-89日","59日以下")))</x:f>
      </x:c>
      <x:c r="U236" s="99" t="str">
        <x:f>IF(O236="","",IF(O236&lt;0,"赤字",IF(AND(S236&gt;=90,H236&lt;=2),"要見直し",IF(P236&lt;0.15,"低利益","通常"))))</x:f>
      </x:c>
      <x:c r="V236" s="99" t="str">
        <x:f>IF(U236="","",IF(U236="赤字",100,0)+IF(S236&gt;=90,50,0)+IF(P236&lt;0.15,30,0)+IF(E236&gt;=15,10,0))</x:f>
      </x:c>
      <x:c r="W236" s="101" t="str">
        <x:f>IF(U236="","",IF(U236="赤字","価格・原価・送料を再確認",IF(AND(S236&gt;=90,H236&lt;=2),"値下げ・再出品・仕入停止を検討",IF(P236&lt;0.15,"送料・手数料を見直す","継続観察"))))</x:f>
      </x:c>
    </x:row>
    <x:row r="237">
      <x:c r="A237" s="95"/>
      <x:c r="B237" s="95"/>
      <x:c r="C237" s="95"/>
      <x:c r="D237" s="95"/>
      <x:c r="E237" s="95"/>
      <x:c r="F237" s="96"/>
      <x:c r="G237" s="96"/>
      <x:c r="H237" s="95"/>
      <x:c r="I237" s="97"/>
      <x:c r="J237" s="97"/>
      <x:c r="K237" s="98"/>
      <x:c r="L237" s="97"/>
      <x:c r="M237" s="97"/>
      <x:c r="N237" s="99" t="str">
        <x:f>IF(OR(I237="",K237=""),"",I237*K237)</x:f>
      </x:c>
      <x:c r="O237" s="99" t="str">
        <x:f>IF(OR(I237="",J237="",N237="",L237="",M237=""),"",I237-J237-N237-L237-M237)</x:f>
      </x:c>
      <x:c r="P237" s="100" t="str">
        <x:f>IFERROR(O237/I237,"")</x:f>
      </x:c>
      <x:c r="Q237" s="99" t="str">
        <x:f>IF(OR(H237="",I237=""),"",H237*I237)</x:f>
      </x:c>
      <x:c r="R237" s="99" t="str">
        <x:f>IF(OR(H237="",O237=""),"",H237*O237)</x:f>
      </x:c>
      <x:c r="S237" s="99" t="str">
        <x:f>IF(G237="","",$B$2-G237)</x:f>
      </x:c>
      <x:c r="T237" s="99" t="str">
        <x:f>IF(S237="","",IF(S237&gt;=90,"90日以上",IF(S237&gt;=60,"60-89日","59日以下")))</x:f>
      </x:c>
      <x:c r="U237" s="99" t="str">
        <x:f>IF(O237="","",IF(O237&lt;0,"赤字",IF(AND(S237&gt;=90,H237&lt;=2),"要見直し",IF(P237&lt;0.15,"低利益","通常"))))</x:f>
      </x:c>
      <x:c r="V237" s="99" t="str">
        <x:f>IF(U237="","",IF(U237="赤字",100,0)+IF(S237&gt;=90,50,0)+IF(P237&lt;0.15,30,0)+IF(E237&gt;=15,10,0))</x:f>
      </x:c>
      <x:c r="W237" s="101" t="str">
        <x:f>IF(U237="","",IF(U237="赤字","価格・原価・送料を再確認",IF(AND(S237&gt;=90,H237&lt;=2),"値下げ・再出品・仕入停止を検討",IF(P237&lt;0.15,"送料・手数料を見直す","継続観察"))))</x:f>
      </x:c>
    </x:row>
    <x:row r="238">
      <x:c r="A238" s="95"/>
      <x:c r="B238" s="95"/>
      <x:c r="C238" s="95"/>
      <x:c r="D238" s="95"/>
      <x:c r="E238" s="95"/>
      <x:c r="F238" s="96"/>
      <x:c r="G238" s="96"/>
      <x:c r="H238" s="95"/>
      <x:c r="I238" s="97"/>
      <x:c r="J238" s="97"/>
      <x:c r="K238" s="98"/>
      <x:c r="L238" s="97"/>
      <x:c r="M238" s="97"/>
      <x:c r="N238" s="99" t="str">
        <x:f>IF(OR(I238="",K238=""),"",I238*K238)</x:f>
      </x:c>
      <x:c r="O238" s="99" t="str">
        <x:f>IF(OR(I238="",J238="",N238="",L238="",M238=""),"",I238-J238-N238-L238-M238)</x:f>
      </x:c>
      <x:c r="P238" s="100" t="str">
        <x:f>IFERROR(O238/I238,"")</x:f>
      </x:c>
      <x:c r="Q238" s="99" t="str">
        <x:f>IF(OR(H238="",I238=""),"",H238*I238)</x:f>
      </x:c>
      <x:c r="R238" s="99" t="str">
        <x:f>IF(OR(H238="",O238=""),"",H238*O238)</x:f>
      </x:c>
      <x:c r="S238" s="99" t="str">
        <x:f>IF(G238="","",$B$2-G238)</x:f>
      </x:c>
      <x:c r="T238" s="99" t="str">
        <x:f>IF(S238="","",IF(S238&gt;=90,"90日以上",IF(S238&gt;=60,"60-89日","59日以下")))</x:f>
      </x:c>
      <x:c r="U238" s="99" t="str">
        <x:f>IF(O238="","",IF(O238&lt;0,"赤字",IF(AND(S238&gt;=90,H238&lt;=2),"要見直し",IF(P238&lt;0.15,"低利益","通常"))))</x:f>
      </x:c>
      <x:c r="V238" s="99" t="str">
        <x:f>IF(U238="","",IF(U238="赤字",100,0)+IF(S238&gt;=90,50,0)+IF(P238&lt;0.15,30,0)+IF(E238&gt;=15,10,0))</x:f>
      </x:c>
      <x:c r="W238" s="101" t="str">
        <x:f>IF(U238="","",IF(U238="赤字","価格・原価・送料を再確認",IF(AND(S238&gt;=90,H238&lt;=2),"値下げ・再出品・仕入停止を検討",IF(P238&lt;0.15,"送料・手数料を見直す","継続観察"))))</x:f>
      </x:c>
    </x:row>
    <x:row r="239">
      <x:c r="A239" s="95"/>
      <x:c r="B239" s="95"/>
      <x:c r="C239" s="95"/>
      <x:c r="D239" s="95"/>
      <x:c r="E239" s="95"/>
      <x:c r="F239" s="96"/>
      <x:c r="G239" s="96"/>
      <x:c r="H239" s="95"/>
      <x:c r="I239" s="97"/>
      <x:c r="J239" s="97"/>
      <x:c r="K239" s="98"/>
      <x:c r="L239" s="97"/>
      <x:c r="M239" s="97"/>
      <x:c r="N239" s="99" t="str">
        <x:f>IF(OR(I239="",K239=""),"",I239*K239)</x:f>
      </x:c>
      <x:c r="O239" s="99" t="str">
        <x:f>IF(OR(I239="",J239="",N239="",L239="",M239=""),"",I239-J239-N239-L239-M239)</x:f>
      </x:c>
      <x:c r="P239" s="100" t="str">
        <x:f>IFERROR(O239/I239,"")</x:f>
      </x:c>
      <x:c r="Q239" s="99" t="str">
        <x:f>IF(OR(H239="",I239=""),"",H239*I239)</x:f>
      </x:c>
      <x:c r="R239" s="99" t="str">
        <x:f>IF(OR(H239="",O239=""),"",H239*O239)</x:f>
      </x:c>
      <x:c r="S239" s="99" t="str">
        <x:f>IF(G239="","",$B$2-G239)</x:f>
      </x:c>
      <x:c r="T239" s="99" t="str">
        <x:f>IF(S239="","",IF(S239&gt;=90,"90日以上",IF(S239&gt;=60,"60-89日","59日以下")))</x:f>
      </x:c>
      <x:c r="U239" s="99" t="str">
        <x:f>IF(O239="","",IF(O239&lt;0,"赤字",IF(AND(S239&gt;=90,H239&lt;=2),"要見直し",IF(P239&lt;0.15,"低利益","通常"))))</x:f>
      </x:c>
      <x:c r="V239" s="99" t="str">
        <x:f>IF(U239="","",IF(U239="赤字",100,0)+IF(S239&gt;=90,50,0)+IF(P239&lt;0.15,30,0)+IF(E239&gt;=15,10,0))</x:f>
      </x:c>
      <x:c r="W239" s="101" t="str">
        <x:f>IF(U239="","",IF(U239="赤字","価格・原価・送料を再確認",IF(AND(S239&gt;=90,H239&lt;=2),"値下げ・再出品・仕入停止を検討",IF(P239&lt;0.15,"送料・手数料を見直す","継続観察"))))</x:f>
      </x:c>
    </x:row>
    <x:row r="240">
      <x:c r="A240" s="95"/>
      <x:c r="B240" s="95"/>
      <x:c r="C240" s="95"/>
      <x:c r="D240" s="95"/>
      <x:c r="E240" s="95"/>
      <x:c r="F240" s="96"/>
      <x:c r="G240" s="96"/>
      <x:c r="H240" s="95"/>
      <x:c r="I240" s="97"/>
      <x:c r="J240" s="97"/>
      <x:c r="K240" s="98"/>
      <x:c r="L240" s="97"/>
      <x:c r="M240" s="97"/>
      <x:c r="N240" s="99" t="str">
        <x:f>IF(OR(I240="",K240=""),"",I240*K240)</x:f>
      </x:c>
      <x:c r="O240" s="99" t="str">
        <x:f>IF(OR(I240="",J240="",N240="",L240="",M240=""),"",I240-J240-N240-L240-M240)</x:f>
      </x:c>
      <x:c r="P240" s="100" t="str">
        <x:f>IFERROR(O240/I240,"")</x:f>
      </x:c>
      <x:c r="Q240" s="99" t="str">
        <x:f>IF(OR(H240="",I240=""),"",H240*I240)</x:f>
      </x:c>
      <x:c r="R240" s="99" t="str">
        <x:f>IF(OR(H240="",O240=""),"",H240*O240)</x:f>
      </x:c>
      <x:c r="S240" s="99" t="str">
        <x:f>IF(G240="","",$B$2-G240)</x:f>
      </x:c>
      <x:c r="T240" s="99" t="str">
        <x:f>IF(S240="","",IF(S240&gt;=90,"90日以上",IF(S240&gt;=60,"60-89日","59日以下")))</x:f>
      </x:c>
      <x:c r="U240" s="99" t="str">
        <x:f>IF(O240="","",IF(O240&lt;0,"赤字",IF(AND(S240&gt;=90,H240&lt;=2),"要見直し",IF(P240&lt;0.15,"低利益","通常"))))</x:f>
      </x:c>
      <x:c r="V240" s="99" t="str">
        <x:f>IF(U240="","",IF(U240="赤字",100,0)+IF(S240&gt;=90,50,0)+IF(P240&lt;0.15,30,0)+IF(E240&gt;=15,10,0))</x:f>
      </x:c>
      <x:c r="W240" s="101" t="str">
        <x:f>IF(U240="","",IF(U240="赤字","価格・原価・送料を再確認",IF(AND(S240&gt;=90,H240&lt;=2),"値下げ・再出品・仕入停止を検討",IF(P240&lt;0.15,"送料・手数料を見直す","継続観察"))))</x:f>
      </x:c>
    </x:row>
    <x:row r="241">
      <x:c r="A241" s="95"/>
      <x:c r="B241" s="95"/>
      <x:c r="C241" s="95"/>
      <x:c r="D241" s="95"/>
      <x:c r="E241" s="95"/>
      <x:c r="F241" s="96"/>
      <x:c r="G241" s="96"/>
      <x:c r="H241" s="95"/>
      <x:c r="I241" s="97"/>
      <x:c r="J241" s="97"/>
      <x:c r="K241" s="98"/>
      <x:c r="L241" s="97"/>
      <x:c r="M241" s="97"/>
      <x:c r="N241" s="99" t="str">
        <x:f>IF(OR(I241="",K241=""),"",I241*K241)</x:f>
      </x:c>
      <x:c r="O241" s="99" t="str">
        <x:f>IF(OR(I241="",J241="",N241="",L241="",M241=""),"",I241-J241-N241-L241-M241)</x:f>
      </x:c>
      <x:c r="P241" s="100" t="str">
        <x:f>IFERROR(O241/I241,"")</x:f>
      </x:c>
      <x:c r="Q241" s="99" t="str">
        <x:f>IF(OR(H241="",I241=""),"",H241*I241)</x:f>
      </x:c>
      <x:c r="R241" s="99" t="str">
        <x:f>IF(OR(H241="",O241=""),"",H241*O241)</x:f>
      </x:c>
      <x:c r="S241" s="99" t="str">
        <x:f>IF(G241="","",$B$2-G241)</x:f>
      </x:c>
      <x:c r="T241" s="99" t="str">
        <x:f>IF(S241="","",IF(S241&gt;=90,"90日以上",IF(S241&gt;=60,"60-89日","59日以下")))</x:f>
      </x:c>
      <x:c r="U241" s="99" t="str">
        <x:f>IF(O241="","",IF(O241&lt;0,"赤字",IF(AND(S241&gt;=90,H241&lt;=2),"要見直し",IF(P241&lt;0.15,"低利益","通常"))))</x:f>
      </x:c>
      <x:c r="V241" s="99" t="str">
        <x:f>IF(U241="","",IF(U241="赤字",100,0)+IF(S241&gt;=90,50,0)+IF(P241&lt;0.15,30,0)+IF(E241&gt;=15,10,0))</x:f>
      </x:c>
      <x:c r="W241" s="101" t="str">
        <x:f>IF(U241="","",IF(U241="赤字","価格・原価・送料を再確認",IF(AND(S241&gt;=90,H241&lt;=2),"値下げ・再出品・仕入停止を検討",IF(P241&lt;0.15,"送料・手数料を見直す","継続観察"))))</x:f>
      </x:c>
    </x:row>
    <x:row r="242">
      <x:c r="A242" s="95"/>
      <x:c r="B242" s="95"/>
      <x:c r="C242" s="95"/>
      <x:c r="D242" s="95"/>
      <x:c r="E242" s="95"/>
      <x:c r="F242" s="96"/>
      <x:c r="G242" s="96"/>
      <x:c r="H242" s="95"/>
      <x:c r="I242" s="97"/>
      <x:c r="J242" s="97"/>
      <x:c r="K242" s="98"/>
      <x:c r="L242" s="97"/>
      <x:c r="M242" s="97"/>
      <x:c r="N242" s="99" t="str">
        <x:f>IF(OR(I242="",K242=""),"",I242*K242)</x:f>
      </x:c>
      <x:c r="O242" s="99" t="str">
        <x:f>IF(OR(I242="",J242="",N242="",L242="",M242=""),"",I242-J242-N242-L242-M242)</x:f>
      </x:c>
      <x:c r="P242" s="100" t="str">
        <x:f>IFERROR(O242/I242,"")</x:f>
      </x:c>
      <x:c r="Q242" s="99" t="str">
        <x:f>IF(OR(H242="",I242=""),"",H242*I242)</x:f>
      </x:c>
      <x:c r="R242" s="99" t="str">
        <x:f>IF(OR(H242="",O242=""),"",H242*O242)</x:f>
      </x:c>
      <x:c r="S242" s="99" t="str">
        <x:f>IF(G242="","",$B$2-G242)</x:f>
      </x:c>
      <x:c r="T242" s="99" t="str">
        <x:f>IF(S242="","",IF(S242&gt;=90,"90日以上",IF(S242&gt;=60,"60-89日","59日以下")))</x:f>
      </x:c>
      <x:c r="U242" s="99" t="str">
        <x:f>IF(O242="","",IF(O242&lt;0,"赤字",IF(AND(S242&gt;=90,H242&lt;=2),"要見直し",IF(P242&lt;0.15,"低利益","通常"))))</x:f>
      </x:c>
      <x:c r="V242" s="99" t="str">
        <x:f>IF(U242="","",IF(U242="赤字",100,0)+IF(S242&gt;=90,50,0)+IF(P242&lt;0.15,30,0)+IF(E242&gt;=15,10,0))</x:f>
      </x:c>
      <x:c r="W242" s="101" t="str">
        <x:f>IF(U242="","",IF(U242="赤字","価格・原価・送料を再確認",IF(AND(S242&gt;=90,H242&lt;=2),"値下げ・再出品・仕入停止を検討",IF(P242&lt;0.15,"送料・手数料を見直す","継続観察"))))</x:f>
      </x:c>
    </x:row>
    <x:row r="243">
      <x:c r="A243" s="95"/>
      <x:c r="B243" s="95"/>
      <x:c r="C243" s="95"/>
      <x:c r="D243" s="95"/>
      <x:c r="E243" s="95"/>
      <x:c r="F243" s="96"/>
      <x:c r="G243" s="96"/>
      <x:c r="H243" s="95"/>
      <x:c r="I243" s="97"/>
      <x:c r="J243" s="97"/>
      <x:c r="K243" s="98"/>
      <x:c r="L243" s="97"/>
      <x:c r="M243" s="97"/>
      <x:c r="N243" s="99" t="str">
        <x:f>IF(OR(I243="",K243=""),"",I243*K243)</x:f>
      </x:c>
      <x:c r="O243" s="99" t="str">
        <x:f>IF(OR(I243="",J243="",N243="",L243="",M243=""),"",I243-J243-N243-L243-M243)</x:f>
      </x:c>
      <x:c r="P243" s="100" t="str">
        <x:f>IFERROR(O243/I243,"")</x:f>
      </x:c>
      <x:c r="Q243" s="99" t="str">
        <x:f>IF(OR(H243="",I243=""),"",H243*I243)</x:f>
      </x:c>
      <x:c r="R243" s="99" t="str">
        <x:f>IF(OR(H243="",O243=""),"",H243*O243)</x:f>
      </x:c>
      <x:c r="S243" s="99" t="str">
        <x:f>IF(G243="","",$B$2-G243)</x:f>
      </x:c>
      <x:c r="T243" s="99" t="str">
        <x:f>IF(S243="","",IF(S243&gt;=90,"90日以上",IF(S243&gt;=60,"60-89日","59日以下")))</x:f>
      </x:c>
      <x:c r="U243" s="99" t="str">
        <x:f>IF(O243="","",IF(O243&lt;0,"赤字",IF(AND(S243&gt;=90,H243&lt;=2),"要見直し",IF(P243&lt;0.15,"低利益","通常"))))</x:f>
      </x:c>
      <x:c r="V243" s="99" t="str">
        <x:f>IF(U243="","",IF(U243="赤字",100,0)+IF(S243&gt;=90,50,0)+IF(P243&lt;0.15,30,0)+IF(E243&gt;=15,10,0))</x:f>
      </x:c>
      <x:c r="W243" s="101" t="str">
        <x:f>IF(U243="","",IF(U243="赤字","価格・原価・送料を再確認",IF(AND(S243&gt;=90,H243&lt;=2),"値下げ・再出品・仕入停止を検討",IF(P243&lt;0.15,"送料・手数料を見直す","継続観察"))))</x:f>
      </x:c>
    </x:row>
    <x:row r="244">
      <x:c r="A244" s="95"/>
      <x:c r="B244" s="95"/>
      <x:c r="C244" s="95"/>
      <x:c r="D244" s="95"/>
      <x:c r="E244" s="95"/>
      <x:c r="F244" s="96"/>
      <x:c r="G244" s="96"/>
      <x:c r="H244" s="95"/>
      <x:c r="I244" s="97"/>
      <x:c r="J244" s="97"/>
      <x:c r="K244" s="98"/>
      <x:c r="L244" s="97"/>
      <x:c r="M244" s="97"/>
      <x:c r="N244" s="99" t="str">
        <x:f>IF(OR(I244="",K244=""),"",I244*K244)</x:f>
      </x:c>
      <x:c r="O244" s="99" t="str">
        <x:f>IF(OR(I244="",J244="",N244="",L244="",M244=""),"",I244-J244-N244-L244-M244)</x:f>
      </x:c>
      <x:c r="P244" s="100" t="str">
        <x:f>IFERROR(O244/I244,"")</x:f>
      </x:c>
      <x:c r="Q244" s="99" t="str">
        <x:f>IF(OR(H244="",I244=""),"",H244*I244)</x:f>
      </x:c>
      <x:c r="R244" s="99" t="str">
        <x:f>IF(OR(H244="",O244=""),"",H244*O244)</x:f>
      </x:c>
      <x:c r="S244" s="99" t="str">
        <x:f>IF(G244="","",$B$2-G244)</x:f>
      </x:c>
      <x:c r="T244" s="99" t="str">
        <x:f>IF(S244="","",IF(S244&gt;=90,"90日以上",IF(S244&gt;=60,"60-89日","59日以下")))</x:f>
      </x:c>
      <x:c r="U244" s="99" t="str">
        <x:f>IF(O244="","",IF(O244&lt;0,"赤字",IF(AND(S244&gt;=90,H244&lt;=2),"要見直し",IF(P244&lt;0.15,"低利益","通常"))))</x:f>
      </x:c>
      <x:c r="V244" s="99" t="str">
        <x:f>IF(U244="","",IF(U244="赤字",100,0)+IF(S244&gt;=90,50,0)+IF(P244&lt;0.15,30,0)+IF(E244&gt;=15,10,0))</x:f>
      </x:c>
      <x:c r="W244" s="101" t="str">
        <x:f>IF(U244="","",IF(U244="赤字","価格・原価・送料を再確認",IF(AND(S244&gt;=90,H244&lt;=2),"値下げ・再出品・仕入停止を検討",IF(P244&lt;0.15,"送料・手数料を見直す","継続観察"))))</x:f>
      </x:c>
    </x:row>
    <x:row r="245">
      <x:c r="A245" s="95"/>
      <x:c r="B245" s="95"/>
      <x:c r="C245" s="95"/>
      <x:c r="D245" s="95"/>
      <x:c r="E245" s="95"/>
      <x:c r="F245" s="96"/>
      <x:c r="G245" s="96"/>
      <x:c r="H245" s="95"/>
      <x:c r="I245" s="97"/>
      <x:c r="J245" s="97"/>
      <x:c r="K245" s="98"/>
      <x:c r="L245" s="97"/>
      <x:c r="M245" s="97"/>
      <x:c r="N245" s="99" t="str">
        <x:f>IF(OR(I245="",K245=""),"",I245*K245)</x:f>
      </x:c>
      <x:c r="O245" s="99" t="str">
        <x:f>IF(OR(I245="",J245="",N245="",L245="",M245=""),"",I245-J245-N245-L245-M245)</x:f>
      </x:c>
      <x:c r="P245" s="100" t="str">
        <x:f>IFERROR(O245/I245,"")</x:f>
      </x:c>
      <x:c r="Q245" s="99" t="str">
        <x:f>IF(OR(H245="",I245=""),"",H245*I245)</x:f>
      </x:c>
      <x:c r="R245" s="99" t="str">
        <x:f>IF(OR(H245="",O245=""),"",H245*O245)</x:f>
      </x:c>
      <x:c r="S245" s="99" t="str">
        <x:f>IF(G245="","",$B$2-G245)</x:f>
      </x:c>
      <x:c r="T245" s="99" t="str">
        <x:f>IF(S245="","",IF(S245&gt;=90,"90日以上",IF(S245&gt;=60,"60-89日","59日以下")))</x:f>
      </x:c>
      <x:c r="U245" s="99" t="str">
        <x:f>IF(O245="","",IF(O245&lt;0,"赤字",IF(AND(S245&gt;=90,H245&lt;=2),"要見直し",IF(P245&lt;0.15,"低利益","通常"))))</x:f>
      </x:c>
      <x:c r="V245" s="99" t="str">
        <x:f>IF(U245="","",IF(U245="赤字",100,0)+IF(S245&gt;=90,50,0)+IF(P245&lt;0.15,30,0)+IF(E245&gt;=15,10,0))</x:f>
      </x:c>
      <x:c r="W245" s="101" t="str">
        <x:f>IF(U245="","",IF(U245="赤字","価格・原価・送料を再確認",IF(AND(S245&gt;=90,H245&lt;=2),"値下げ・再出品・仕入停止を検討",IF(P245&lt;0.15,"送料・手数料を見直す","継続観察"))))</x:f>
      </x:c>
    </x:row>
    <x:row r="246">
      <x:c r="A246" s="95"/>
      <x:c r="B246" s="95"/>
      <x:c r="C246" s="95"/>
      <x:c r="D246" s="95"/>
      <x:c r="E246" s="95"/>
      <x:c r="F246" s="96"/>
      <x:c r="G246" s="96"/>
      <x:c r="H246" s="95"/>
      <x:c r="I246" s="97"/>
      <x:c r="J246" s="97"/>
      <x:c r="K246" s="98"/>
      <x:c r="L246" s="97"/>
      <x:c r="M246" s="97"/>
      <x:c r="N246" s="99" t="str">
        <x:f>IF(OR(I246="",K246=""),"",I246*K246)</x:f>
      </x:c>
      <x:c r="O246" s="99" t="str">
        <x:f>IF(OR(I246="",J246="",N246="",L246="",M246=""),"",I246-J246-N246-L246-M246)</x:f>
      </x:c>
      <x:c r="P246" s="100" t="str">
        <x:f>IFERROR(O246/I246,"")</x:f>
      </x:c>
      <x:c r="Q246" s="99" t="str">
        <x:f>IF(OR(H246="",I246=""),"",H246*I246)</x:f>
      </x:c>
      <x:c r="R246" s="99" t="str">
        <x:f>IF(OR(H246="",O246=""),"",H246*O246)</x:f>
      </x:c>
      <x:c r="S246" s="99" t="str">
        <x:f>IF(G246="","",$B$2-G246)</x:f>
      </x:c>
      <x:c r="T246" s="99" t="str">
        <x:f>IF(S246="","",IF(S246&gt;=90,"90日以上",IF(S246&gt;=60,"60-89日","59日以下")))</x:f>
      </x:c>
      <x:c r="U246" s="99" t="str">
        <x:f>IF(O246="","",IF(O246&lt;0,"赤字",IF(AND(S246&gt;=90,H246&lt;=2),"要見直し",IF(P246&lt;0.15,"低利益","通常"))))</x:f>
      </x:c>
      <x:c r="V246" s="99" t="str">
        <x:f>IF(U246="","",IF(U246="赤字",100,0)+IF(S246&gt;=90,50,0)+IF(P246&lt;0.15,30,0)+IF(E246&gt;=15,10,0))</x:f>
      </x:c>
      <x:c r="W246" s="101" t="str">
        <x:f>IF(U246="","",IF(U246="赤字","価格・原価・送料を再確認",IF(AND(S246&gt;=90,H246&lt;=2),"値下げ・再出品・仕入停止を検討",IF(P246&lt;0.15,"送料・手数料を見直す","継続観察"))))</x:f>
      </x:c>
    </x:row>
    <x:row r="247">
      <x:c r="A247" s="95"/>
      <x:c r="B247" s="95"/>
      <x:c r="C247" s="95"/>
      <x:c r="D247" s="95"/>
      <x:c r="E247" s="95"/>
      <x:c r="F247" s="96"/>
      <x:c r="G247" s="96"/>
      <x:c r="H247" s="95"/>
      <x:c r="I247" s="97"/>
      <x:c r="J247" s="97"/>
      <x:c r="K247" s="98"/>
      <x:c r="L247" s="97"/>
      <x:c r="M247" s="97"/>
      <x:c r="N247" s="99" t="str">
        <x:f>IF(OR(I247="",K247=""),"",I247*K247)</x:f>
      </x:c>
      <x:c r="O247" s="99" t="str">
        <x:f>IF(OR(I247="",J247="",N247="",L247="",M247=""),"",I247-J247-N247-L247-M247)</x:f>
      </x:c>
      <x:c r="P247" s="100" t="str">
        <x:f>IFERROR(O247/I247,"")</x:f>
      </x:c>
      <x:c r="Q247" s="99" t="str">
        <x:f>IF(OR(H247="",I247=""),"",H247*I247)</x:f>
      </x:c>
      <x:c r="R247" s="99" t="str">
        <x:f>IF(OR(H247="",O247=""),"",H247*O247)</x:f>
      </x:c>
      <x:c r="S247" s="99" t="str">
        <x:f>IF(G247="","",$B$2-G247)</x:f>
      </x:c>
      <x:c r="T247" s="99" t="str">
        <x:f>IF(S247="","",IF(S247&gt;=90,"90日以上",IF(S247&gt;=60,"60-89日","59日以下")))</x:f>
      </x:c>
      <x:c r="U247" s="99" t="str">
        <x:f>IF(O247="","",IF(O247&lt;0,"赤字",IF(AND(S247&gt;=90,H247&lt;=2),"要見直し",IF(P247&lt;0.15,"低利益","通常"))))</x:f>
      </x:c>
      <x:c r="V247" s="99" t="str">
        <x:f>IF(U247="","",IF(U247="赤字",100,0)+IF(S247&gt;=90,50,0)+IF(P247&lt;0.15,30,0)+IF(E247&gt;=15,10,0))</x:f>
      </x:c>
      <x:c r="W247" s="101" t="str">
        <x:f>IF(U247="","",IF(U247="赤字","価格・原価・送料を再確認",IF(AND(S247&gt;=90,H247&lt;=2),"値下げ・再出品・仕入停止を検討",IF(P247&lt;0.15,"送料・手数料を見直す","継続観察"))))</x:f>
      </x:c>
    </x:row>
    <x:row r="248">
      <x:c r="A248" s="95"/>
      <x:c r="B248" s="95"/>
      <x:c r="C248" s="95"/>
      <x:c r="D248" s="95"/>
      <x:c r="E248" s="95"/>
      <x:c r="F248" s="96"/>
      <x:c r="G248" s="96"/>
      <x:c r="H248" s="95"/>
      <x:c r="I248" s="97"/>
      <x:c r="J248" s="97"/>
      <x:c r="K248" s="98"/>
      <x:c r="L248" s="97"/>
      <x:c r="M248" s="97"/>
      <x:c r="N248" s="99" t="str">
        <x:f>IF(OR(I248="",K248=""),"",I248*K248)</x:f>
      </x:c>
      <x:c r="O248" s="99" t="str">
        <x:f>IF(OR(I248="",J248="",N248="",L248="",M248=""),"",I248-J248-N248-L248-M248)</x:f>
      </x:c>
      <x:c r="P248" s="100" t="str">
        <x:f>IFERROR(O248/I248,"")</x:f>
      </x:c>
      <x:c r="Q248" s="99" t="str">
        <x:f>IF(OR(H248="",I248=""),"",H248*I248)</x:f>
      </x:c>
      <x:c r="R248" s="99" t="str">
        <x:f>IF(OR(H248="",O248=""),"",H248*O248)</x:f>
      </x:c>
      <x:c r="S248" s="99" t="str">
        <x:f>IF(G248="","",$B$2-G248)</x:f>
      </x:c>
      <x:c r="T248" s="99" t="str">
        <x:f>IF(S248="","",IF(S248&gt;=90,"90日以上",IF(S248&gt;=60,"60-89日","59日以下")))</x:f>
      </x:c>
      <x:c r="U248" s="99" t="str">
        <x:f>IF(O248="","",IF(O248&lt;0,"赤字",IF(AND(S248&gt;=90,H248&lt;=2),"要見直し",IF(P248&lt;0.15,"低利益","通常"))))</x:f>
      </x:c>
      <x:c r="V248" s="99" t="str">
        <x:f>IF(U248="","",IF(U248="赤字",100,0)+IF(S248&gt;=90,50,0)+IF(P248&lt;0.15,30,0)+IF(E248&gt;=15,10,0))</x:f>
      </x:c>
      <x:c r="W248" s="101" t="str">
        <x:f>IF(U248="","",IF(U248="赤字","価格・原価・送料を再確認",IF(AND(S248&gt;=90,H248&lt;=2),"値下げ・再出品・仕入停止を検討",IF(P248&lt;0.15,"送料・手数料を見直す","継続観察"))))</x:f>
      </x:c>
    </x:row>
    <x:row r="249">
      <x:c r="A249" s="95"/>
      <x:c r="B249" s="95"/>
      <x:c r="C249" s="95"/>
      <x:c r="D249" s="95"/>
      <x:c r="E249" s="95"/>
      <x:c r="F249" s="96"/>
      <x:c r="G249" s="96"/>
      <x:c r="H249" s="95"/>
      <x:c r="I249" s="97"/>
      <x:c r="J249" s="97"/>
      <x:c r="K249" s="98"/>
      <x:c r="L249" s="97"/>
      <x:c r="M249" s="97"/>
      <x:c r="N249" s="99" t="str">
        <x:f>IF(OR(I249="",K249=""),"",I249*K249)</x:f>
      </x:c>
      <x:c r="O249" s="99" t="str">
        <x:f>IF(OR(I249="",J249="",N249="",L249="",M249=""),"",I249-J249-N249-L249-M249)</x:f>
      </x:c>
      <x:c r="P249" s="100" t="str">
        <x:f>IFERROR(O249/I249,"")</x:f>
      </x:c>
      <x:c r="Q249" s="99" t="str">
        <x:f>IF(OR(H249="",I249=""),"",H249*I249)</x:f>
      </x:c>
      <x:c r="R249" s="99" t="str">
        <x:f>IF(OR(H249="",O249=""),"",H249*O249)</x:f>
      </x:c>
      <x:c r="S249" s="99" t="str">
        <x:f>IF(G249="","",$B$2-G249)</x:f>
      </x:c>
      <x:c r="T249" s="99" t="str">
        <x:f>IF(S249="","",IF(S249&gt;=90,"90日以上",IF(S249&gt;=60,"60-89日","59日以下")))</x:f>
      </x:c>
      <x:c r="U249" s="99" t="str">
        <x:f>IF(O249="","",IF(O249&lt;0,"赤字",IF(AND(S249&gt;=90,H249&lt;=2),"要見直し",IF(P249&lt;0.15,"低利益","通常"))))</x:f>
      </x:c>
      <x:c r="V249" s="99" t="str">
        <x:f>IF(U249="","",IF(U249="赤字",100,0)+IF(S249&gt;=90,50,0)+IF(P249&lt;0.15,30,0)+IF(E249&gt;=15,10,0))</x:f>
      </x:c>
      <x:c r="W249" s="101" t="str">
        <x:f>IF(U249="","",IF(U249="赤字","価格・原価・送料を再確認",IF(AND(S249&gt;=90,H249&lt;=2),"値下げ・再出品・仕入停止を検討",IF(P249&lt;0.15,"送料・手数料を見直す","継続観察"))))</x:f>
      </x:c>
    </x:row>
    <x:row r="250">
      <x:c r="A250" s="95"/>
      <x:c r="B250" s="95"/>
      <x:c r="C250" s="95"/>
      <x:c r="D250" s="95"/>
      <x:c r="E250" s="95"/>
      <x:c r="F250" s="96"/>
      <x:c r="G250" s="96"/>
      <x:c r="H250" s="95"/>
      <x:c r="I250" s="97"/>
      <x:c r="J250" s="97"/>
      <x:c r="K250" s="98"/>
      <x:c r="L250" s="97"/>
      <x:c r="M250" s="97"/>
      <x:c r="N250" s="99" t="str">
        <x:f>IF(OR(I250="",K250=""),"",I250*K250)</x:f>
      </x:c>
      <x:c r="O250" s="99" t="str">
        <x:f>IF(OR(I250="",J250="",N250="",L250="",M250=""),"",I250-J250-N250-L250-M250)</x:f>
      </x:c>
      <x:c r="P250" s="100" t="str">
        <x:f>IFERROR(O250/I250,"")</x:f>
      </x:c>
      <x:c r="Q250" s="99" t="str">
        <x:f>IF(OR(H250="",I250=""),"",H250*I250)</x:f>
      </x:c>
      <x:c r="R250" s="99" t="str">
        <x:f>IF(OR(H250="",O250=""),"",H250*O250)</x:f>
      </x:c>
      <x:c r="S250" s="99" t="str">
        <x:f>IF(G250="","",$B$2-G250)</x:f>
      </x:c>
      <x:c r="T250" s="99" t="str">
        <x:f>IF(S250="","",IF(S250&gt;=90,"90日以上",IF(S250&gt;=60,"60-89日","59日以下")))</x:f>
      </x:c>
      <x:c r="U250" s="99" t="str">
        <x:f>IF(O250="","",IF(O250&lt;0,"赤字",IF(AND(S250&gt;=90,H250&lt;=2),"要見直し",IF(P250&lt;0.15,"低利益","通常"))))</x:f>
      </x:c>
      <x:c r="V250" s="99" t="str">
        <x:f>IF(U250="","",IF(U250="赤字",100,0)+IF(S250&gt;=90,50,0)+IF(P250&lt;0.15,30,0)+IF(E250&gt;=15,10,0))</x:f>
      </x:c>
      <x:c r="W250" s="101" t="str">
        <x:f>IF(U250="","",IF(U250="赤字","価格・原価・送料を再確認",IF(AND(S250&gt;=90,H250&lt;=2),"値下げ・再出品・仕入停止を検討",IF(P250&lt;0.15,"送料・手数料を見直す","継続観察"))))</x:f>
      </x:c>
    </x:row>
    <x:row r="251">
      <x:c r="A251" s="95"/>
      <x:c r="B251" s="95"/>
      <x:c r="C251" s="95"/>
      <x:c r="D251" s="95"/>
      <x:c r="E251" s="95"/>
      <x:c r="F251" s="96"/>
      <x:c r="G251" s="96"/>
      <x:c r="H251" s="95"/>
      <x:c r="I251" s="97"/>
      <x:c r="J251" s="97"/>
      <x:c r="K251" s="98"/>
      <x:c r="L251" s="97"/>
      <x:c r="M251" s="97"/>
      <x:c r="N251" s="99" t="str">
        <x:f>IF(OR(I251="",K251=""),"",I251*K251)</x:f>
      </x:c>
      <x:c r="O251" s="99" t="str">
        <x:f>IF(OR(I251="",J251="",N251="",L251="",M251=""),"",I251-J251-N251-L251-M251)</x:f>
      </x:c>
      <x:c r="P251" s="100" t="str">
        <x:f>IFERROR(O251/I251,"")</x:f>
      </x:c>
      <x:c r="Q251" s="99" t="str">
        <x:f>IF(OR(H251="",I251=""),"",H251*I251)</x:f>
      </x:c>
      <x:c r="R251" s="99" t="str">
        <x:f>IF(OR(H251="",O251=""),"",H251*O251)</x:f>
      </x:c>
      <x:c r="S251" s="99" t="str">
        <x:f>IF(G251="","",$B$2-G251)</x:f>
      </x:c>
      <x:c r="T251" s="99" t="str">
        <x:f>IF(S251="","",IF(S251&gt;=90,"90日以上",IF(S251&gt;=60,"60-89日","59日以下")))</x:f>
      </x:c>
      <x:c r="U251" s="99" t="str">
        <x:f>IF(O251="","",IF(O251&lt;0,"赤字",IF(AND(S251&gt;=90,H251&lt;=2),"要見直し",IF(P251&lt;0.15,"低利益","通常"))))</x:f>
      </x:c>
      <x:c r="V251" s="99" t="str">
        <x:f>IF(U251="","",IF(U251="赤字",100,0)+IF(S251&gt;=90,50,0)+IF(P251&lt;0.15,30,0)+IF(E251&gt;=15,10,0))</x:f>
      </x:c>
      <x:c r="W251" s="101" t="str">
        <x:f>IF(U251="","",IF(U251="赤字","価格・原価・送料を再確認",IF(AND(S251&gt;=90,H251&lt;=2),"値下げ・再出品・仕入停止を検討",IF(P251&lt;0.15,"送料・手数料を見直す","継続観察"))))</x:f>
      </x:c>
    </x:row>
    <x:row r="252">
      <x:c r="A252" s="95"/>
      <x:c r="B252" s="95"/>
      <x:c r="C252" s="95"/>
      <x:c r="D252" s="95"/>
      <x:c r="E252" s="95"/>
      <x:c r="F252" s="96"/>
      <x:c r="G252" s="96"/>
      <x:c r="H252" s="95"/>
      <x:c r="I252" s="97"/>
      <x:c r="J252" s="97"/>
      <x:c r="K252" s="98"/>
      <x:c r="L252" s="97"/>
      <x:c r="M252" s="97"/>
      <x:c r="N252" s="99" t="str">
        <x:f>IF(OR(I252="",K252=""),"",I252*K252)</x:f>
      </x:c>
      <x:c r="O252" s="99" t="str">
        <x:f>IF(OR(I252="",J252="",N252="",L252="",M252=""),"",I252-J252-N252-L252-M252)</x:f>
      </x:c>
      <x:c r="P252" s="100" t="str">
        <x:f>IFERROR(O252/I252,"")</x:f>
      </x:c>
      <x:c r="Q252" s="99" t="str">
        <x:f>IF(OR(H252="",I252=""),"",H252*I252)</x:f>
      </x:c>
      <x:c r="R252" s="99" t="str">
        <x:f>IF(OR(H252="",O252=""),"",H252*O252)</x:f>
      </x:c>
      <x:c r="S252" s="99" t="str">
        <x:f>IF(G252="","",$B$2-G252)</x:f>
      </x:c>
      <x:c r="T252" s="99" t="str">
        <x:f>IF(S252="","",IF(S252&gt;=90,"90日以上",IF(S252&gt;=60,"60-89日","59日以下")))</x:f>
      </x:c>
      <x:c r="U252" s="99" t="str">
        <x:f>IF(O252="","",IF(O252&lt;0,"赤字",IF(AND(S252&gt;=90,H252&lt;=2),"要見直し",IF(P252&lt;0.15,"低利益","通常"))))</x:f>
      </x:c>
      <x:c r="V252" s="99" t="str">
        <x:f>IF(U252="","",IF(U252="赤字",100,0)+IF(S252&gt;=90,50,0)+IF(P252&lt;0.15,30,0)+IF(E252&gt;=15,10,0))</x:f>
      </x:c>
      <x:c r="W252" s="101" t="str">
        <x:f>IF(U252="","",IF(U252="赤字","価格・原価・送料を再確認",IF(AND(S252&gt;=90,H252&lt;=2),"値下げ・再出品・仕入停止を検討",IF(P252&lt;0.15,"送料・手数料を見直す","継続観察"))))</x:f>
      </x:c>
    </x:row>
    <x:row r="253">
      <x:c r="A253" s="95"/>
      <x:c r="B253" s="95"/>
      <x:c r="C253" s="95"/>
      <x:c r="D253" s="95"/>
      <x:c r="E253" s="95"/>
      <x:c r="F253" s="96"/>
      <x:c r="G253" s="96"/>
      <x:c r="H253" s="95"/>
      <x:c r="I253" s="97"/>
      <x:c r="J253" s="97"/>
      <x:c r="K253" s="98"/>
      <x:c r="L253" s="97"/>
      <x:c r="M253" s="97"/>
      <x:c r="N253" s="99" t="str">
        <x:f>IF(OR(I253="",K253=""),"",I253*K253)</x:f>
      </x:c>
      <x:c r="O253" s="99" t="str">
        <x:f>IF(OR(I253="",J253="",N253="",L253="",M253=""),"",I253-J253-N253-L253-M253)</x:f>
      </x:c>
      <x:c r="P253" s="100" t="str">
        <x:f>IFERROR(O253/I253,"")</x:f>
      </x:c>
      <x:c r="Q253" s="99" t="str">
        <x:f>IF(OR(H253="",I253=""),"",H253*I253)</x:f>
      </x:c>
      <x:c r="R253" s="99" t="str">
        <x:f>IF(OR(H253="",O253=""),"",H253*O253)</x:f>
      </x:c>
      <x:c r="S253" s="99" t="str">
        <x:f>IF(G253="","",$B$2-G253)</x:f>
      </x:c>
      <x:c r="T253" s="99" t="str">
        <x:f>IF(S253="","",IF(S253&gt;=90,"90日以上",IF(S253&gt;=60,"60-89日","59日以下")))</x:f>
      </x:c>
      <x:c r="U253" s="99" t="str">
        <x:f>IF(O253="","",IF(O253&lt;0,"赤字",IF(AND(S253&gt;=90,H253&lt;=2),"要見直し",IF(P253&lt;0.15,"低利益","通常"))))</x:f>
      </x:c>
      <x:c r="V253" s="99" t="str">
        <x:f>IF(U253="","",IF(U253="赤字",100,0)+IF(S253&gt;=90,50,0)+IF(P253&lt;0.15,30,0)+IF(E253&gt;=15,10,0))</x:f>
      </x:c>
      <x:c r="W253" s="101" t="str">
        <x:f>IF(U253="","",IF(U253="赤字","価格・原価・送料を再確認",IF(AND(S253&gt;=90,H253&lt;=2),"値下げ・再出品・仕入停止を検討",IF(P253&lt;0.15,"送料・手数料を見直す","継続観察"))))</x:f>
      </x:c>
    </x:row>
    <x:row r="254">
      <x:c r="A254" s="95"/>
      <x:c r="B254" s="95"/>
      <x:c r="C254" s="95"/>
      <x:c r="D254" s="95"/>
      <x:c r="E254" s="95"/>
      <x:c r="F254" s="96"/>
      <x:c r="G254" s="96"/>
      <x:c r="H254" s="95"/>
      <x:c r="I254" s="97"/>
      <x:c r="J254" s="97"/>
      <x:c r="K254" s="98"/>
      <x:c r="L254" s="97"/>
      <x:c r="M254" s="97"/>
      <x:c r="N254" s="99" t="str">
        <x:f>IF(OR(I254="",K254=""),"",I254*K254)</x:f>
      </x:c>
      <x:c r="O254" s="99" t="str">
        <x:f>IF(OR(I254="",J254="",N254="",L254="",M254=""),"",I254-J254-N254-L254-M254)</x:f>
      </x:c>
      <x:c r="P254" s="100" t="str">
        <x:f>IFERROR(O254/I254,"")</x:f>
      </x:c>
      <x:c r="Q254" s="99" t="str">
        <x:f>IF(OR(H254="",I254=""),"",H254*I254)</x:f>
      </x:c>
      <x:c r="R254" s="99" t="str">
        <x:f>IF(OR(H254="",O254=""),"",H254*O254)</x:f>
      </x:c>
      <x:c r="S254" s="99" t="str">
        <x:f>IF(G254="","",$B$2-G254)</x:f>
      </x:c>
      <x:c r="T254" s="99" t="str">
        <x:f>IF(S254="","",IF(S254&gt;=90,"90日以上",IF(S254&gt;=60,"60-89日","59日以下")))</x:f>
      </x:c>
      <x:c r="U254" s="99" t="str">
        <x:f>IF(O254="","",IF(O254&lt;0,"赤字",IF(AND(S254&gt;=90,H254&lt;=2),"要見直し",IF(P254&lt;0.15,"低利益","通常"))))</x:f>
      </x:c>
      <x:c r="V254" s="99" t="str">
        <x:f>IF(U254="","",IF(U254="赤字",100,0)+IF(S254&gt;=90,50,0)+IF(P254&lt;0.15,30,0)+IF(E254&gt;=15,10,0))</x:f>
      </x:c>
      <x:c r="W254" s="101" t="str">
        <x:f>IF(U254="","",IF(U254="赤字","価格・原価・送料を再確認",IF(AND(S254&gt;=90,H254&lt;=2),"値下げ・再出品・仕入停止を検討",IF(P254&lt;0.15,"送料・手数料を見直す","継続観察"))))</x:f>
      </x:c>
    </x:row>
    <x:row r="255">
      <x:c r="A255" s="95"/>
      <x:c r="B255" s="95"/>
      <x:c r="C255" s="95"/>
      <x:c r="D255" s="95"/>
      <x:c r="E255" s="95"/>
      <x:c r="F255" s="96"/>
      <x:c r="G255" s="96"/>
      <x:c r="H255" s="95"/>
      <x:c r="I255" s="97"/>
      <x:c r="J255" s="97"/>
      <x:c r="K255" s="98"/>
      <x:c r="L255" s="97"/>
      <x:c r="M255" s="97"/>
      <x:c r="N255" s="99" t="str">
        <x:f>IF(OR(I255="",K255=""),"",I255*K255)</x:f>
      </x:c>
      <x:c r="O255" s="99" t="str">
        <x:f>IF(OR(I255="",J255="",N255="",L255="",M255=""),"",I255-J255-N255-L255-M255)</x:f>
      </x:c>
      <x:c r="P255" s="100" t="str">
        <x:f>IFERROR(O255/I255,"")</x:f>
      </x:c>
      <x:c r="Q255" s="99" t="str">
        <x:f>IF(OR(H255="",I255=""),"",H255*I255)</x:f>
      </x:c>
      <x:c r="R255" s="99" t="str">
        <x:f>IF(OR(H255="",O255=""),"",H255*O255)</x:f>
      </x:c>
      <x:c r="S255" s="99" t="str">
        <x:f>IF(G255="","",$B$2-G255)</x:f>
      </x:c>
      <x:c r="T255" s="99" t="str">
        <x:f>IF(S255="","",IF(S255&gt;=90,"90日以上",IF(S255&gt;=60,"60-89日","59日以下")))</x:f>
      </x:c>
      <x:c r="U255" s="99" t="str">
        <x:f>IF(O255="","",IF(O255&lt;0,"赤字",IF(AND(S255&gt;=90,H255&lt;=2),"要見直し",IF(P255&lt;0.15,"低利益","通常"))))</x:f>
      </x:c>
      <x:c r="V255" s="99" t="str">
        <x:f>IF(U255="","",IF(U255="赤字",100,0)+IF(S255&gt;=90,50,0)+IF(P255&lt;0.15,30,0)+IF(E255&gt;=15,10,0))</x:f>
      </x:c>
      <x:c r="W255" s="101" t="str">
        <x:f>IF(U255="","",IF(U255="赤字","価格・原価・送料を再確認",IF(AND(S255&gt;=90,H255&lt;=2),"値下げ・再出品・仕入停止を検討",IF(P255&lt;0.15,"送料・手数料を見直す","継続観察"))))</x:f>
      </x:c>
    </x:row>
    <x:row r="256">
      <x:c r="A256" s="95"/>
      <x:c r="B256" s="95"/>
      <x:c r="C256" s="95"/>
      <x:c r="D256" s="95"/>
      <x:c r="E256" s="95"/>
      <x:c r="F256" s="96"/>
      <x:c r="G256" s="96"/>
      <x:c r="H256" s="95"/>
      <x:c r="I256" s="97"/>
      <x:c r="J256" s="97"/>
      <x:c r="K256" s="98"/>
      <x:c r="L256" s="97"/>
      <x:c r="M256" s="97"/>
      <x:c r="N256" s="99" t="str">
        <x:f>IF(OR(I256="",K256=""),"",I256*K256)</x:f>
      </x:c>
      <x:c r="O256" s="99" t="str">
        <x:f>IF(OR(I256="",J256="",N256="",L256="",M256=""),"",I256-J256-N256-L256-M256)</x:f>
      </x:c>
      <x:c r="P256" s="100" t="str">
        <x:f>IFERROR(O256/I256,"")</x:f>
      </x:c>
      <x:c r="Q256" s="99" t="str">
        <x:f>IF(OR(H256="",I256=""),"",H256*I256)</x:f>
      </x:c>
      <x:c r="R256" s="99" t="str">
        <x:f>IF(OR(H256="",O256=""),"",H256*O256)</x:f>
      </x:c>
      <x:c r="S256" s="99" t="str">
        <x:f>IF(G256="","",$B$2-G256)</x:f>
      </x:c>
      <x:c r="T256" s="99" t="str">
        <x:f>IF(S256="","",IF(S256&gt;=90,"90日以上",IF(S256&gt;=60,"60-89日","59日以下")))</x:f>
      </x:c>
      <x:c r="U256" s="99" t="str">
        <x:f>IF(O256="","",IF(O256&lt;0,"赤字",IF(AND(S256&gt;=90,H256&lt;=2),"要見直し",IF(P256&lt;0.15,"低利益","通常"))))</x:f>
      </x:c>
      <x:c r="V256" s="99" t="str">
        <x:f>IF(U256="","",IF(U256="赤字",100,0)+IF(S256&gt;=90,50,0)+IF(P256&lt;0.15,30,0)+IF(E256&gt;=15,10,0))</x:f>
      </x:c>
      <x:c r="W256" s="101" t="str">
        <x:f>IF(U256="","",IF(U256="赤字","価格・原価・送料を再確認",IF(AND(S256&gt;=90,H256&lt;=2),"値下げ・再出品・仕入停止を検討",IF(P256&lt;0.15,"送料・手数料を見直す","継続観察"))))</x:f>
      </x:c>
    </x:row>
    <x:row r="257">
      <x:c r="A257" s="95"/>
      <x:c r="B257" s="95"/>
      <x:c r="C257" s="95"/>
      <x:c r="D257" s="95"/>
      <x:c r="E257" s="95"/>
      <x:c r="F257" s="96"/>
      <x:c r="G257" s="96"/>
      <x:c r="H257" s="95"/>
      <x:c r="I257" s="97"/>
      <x:c r="J257" s="97"/>
      <x:c r="K257" s="98"/>
      <x:c r="L257" s="97"/>
      <x:c r="M257" s="97"/>
      <x:c r="N257" s="99" t="str">
        <x:f>IF(OR(I257="",K257=""),"",I257*K257)</x:f>
      </x:c>
      <x:c r="O257" s="99" t="str">
        <x:f>IF(OR(I257="",J257="",N257="",L257="",M257=""),"",I257-J257-N257-L257-M257)</x:f>
      </x:c>
      <x:c r="P257" s="100" t="str">
        <x:f>IFERROR(O257/I257,"")</x:f>
      </x:c>
      <x:c r="Q257" s="99" t="str">
        <x:f>IF(OR(H257="",I257=""),"",H257*I257)</x:f>
      </x:c>
      <x:c r="R257" s="99" t="str">
        <x:f>IF(OR(H257="",O257=""),"",H257*O257)</x:f>
      </x:c>
      <x:c r="S257" s="99" t="str">
        <x:f>IF(G257="","",$B$2-G257)</x:f>
      </x:c>
      <x:c r="T257" s="99" t="str">
        <x:f>IF(S257="","",IF(S257&gt;=90,"90日以上",IF(S257&gt;=60,"60-89日","59日以下")))</x:f>
      </x:c>
      <x:c r="U257" s="99" t="str">
        <x:f>IF(O257="","",IF(O257&lt;0,"赤字",IF(AND(S257&gt;=90,H257&lt;=2),"要見直し",IF(P257&lt;0.15,"低利益","通常"))))</x:f>
      </x:c>
      <x:c r="V257" s="99" t="str">
        <x:f>IF(U257="","",IF(U257="赤字",100,0)+IF(S257&gt;=90,50,0)+IF(P257&lt;0.15,30,0)+IF(E257&gt;=15,10,0))</x:f>
      </x:c>
      <x:c r="W257" s="101" t="str">
        <x:f>IF(U257="","",IF(U257="赤字","価格・原価・送料を再確認",IF(AND(S257&gt;=90,H257&lt;=2),"値下げ・再出品・仕入停止を検討",IF(P257&lt;0.15,"送料・手数料を見直す","継続観察"))))</x:f>
      </x:c>
    </x:row>
    <x:row r="258">
      <x:c r="A258" s="95"/>
      <x:c r="B258" s="95"/>
      <x:c r="C258" s="95"/>
      <x:c r="D258" s="95"/>
      <x:c r="E258" s="95"/>
      <x:c r="F258" s="96"/>
      <x:c r="G258" s="96"/>
      <x:c r="H258" s="95"/>
      <x:c r="I258" s="97"/>
      <x:c r="J258" s="97"/>
      <x:c r="K258" s="98"/>
      <x:c r="L258" s="97"/>
      <x:c r="M258" s="97"/>
      <x:c r="N258" s="99" t="str">
        <x:f>IF(OR(I258="",K258=""),"",I258*K258)</x:f>
      </x:c>
      <x:c r="O258" s="99" t="str">
        <x:f>IF(OR(I258="",J258="",N258="",L258="",M258=""),"",I258-J258-N258-L258-M258)</x:f>
      </x:c>
      <x:c r="P258" s="100" t="str">
        <x:f>IFERROR(O258/I258,"")</x:f>
      </x:c>
      <x:c r="Q258" s="99" t="str">
        <x:f>IF(OR(H258="",I258=""),"",H258*I258)</x:f>
      </x:c>
      <x:c r="R258" s="99" t="str">
        <x:f>IF(OR(H258="",O258=""),"",H258*O258)</x:f>
      </x:c>
      <x:c r="S258" s="99" t="str">
        <x:f>IF(G258="","",$B$2-G258)</x:f>
      </x:c>
      <x:c r="T258" s="99" t="str">
        <x:f>IF(S258="","",IF(S258&gt;=90,"90日以上",IF(S258&gt;=60,"60-89日","59日以下")))</x:f>
      </x:c>
      <x:c r="U258" s="99" t="str">
        <x:f>IF(O258="","",IF(O258&lt;0,"赤字",IF(AND(S258&gt;=90,H258&lt;=2),"要見直し",IF(P258&lt;0.15,"低利益","通常"))))</x:f>
      </x:c>
      <x:c r="V258" s="99" t="str">
        <x:f>IF(U258="","",IF(U258="赤字",100,0)+IF(S258&gt;=90,50,0)+IF(P258&lt;0.15,30,0)+IF(E258&gt;=15,10,0))</x:f>
      </x:c>
      <x:c r="W258" s="101" t="str">
        <x:f>IF(U258="","",IF(U258="赤字","価格・原価・送料を再確認",IF(AND(S258&gt;=90,H258&lt;=2),"値下げ・再出品・仕入停止を検討",IF(P258&lt;0.15,"送料・手数料を見直す","継続観察"))))</x:f>
      </x:c>
    </x:row>
    <x:row r="259">
      <x:c r="A259" s="95"/>
      <x:c r="B259" s="95"/>
      <x:c r="C259" s="95"/>
      <x:c r="D259" s="95"/>
      <x:c r="E259" s="95"/>
      <x:c r="F259" s="96"/>
      <x:c r="G259" s="96"/>
      <x:c r="H259" s="95"/>
      <x:c r="I259" s="97"/>
      <x:c r="J259" s="97"/>
      <x:c r="K259" s="98"/>
      <x:c r="L259" s="97"/>
      <x:c r="M259" s="97"/>
      <x:c r="N259" s="99" t="str">
        <x:f>IF(OR(I259="",K259=""),"",I259*K259)</x:f>
      </x:c>
      <x:c r="O259" s="99" t="str">
        <x:f>IF(OR(I259="",J259="",N259="",L259="",M259=""),"",I259-J259-N259-L259-M259)</x:f>
      </x:c>
      <x:c r="P259" s="100" t="str">
        <x:f>IFERROR(O259/I259,"")</x:f>
      </x:c>
      <x:c r="Q259" s="99" t="str">
        <x:f>IF(OR(H259="",I259=""),"",H259*I259)</x:f>
      </x:c>
      <x:c r="R259" s="99" t="str">
        <x:f>IF(OR(H259="",O259=""),"",H259*O259)</x:f>
      </x:c>
      <x:c r="S259" s="99" t="str">
        <x:f>IF(G259="","",$B$2-G259)</x:f>
      </x:c>
      <x:c r="T259" s="99" t="str">
        <x:f>IF(S259="","",IF(S259&gt;=90,"90日以上",IF(S259&gt;=60,"60-89日","59日以下")))</x:f>
      </x:c>
      <x:c r="U259" s="99" t="str">
        <x:f>IF(O259="","",IF(O259&lt;0,"赤字",IF(AND(S259&gt;=90,H259&lt;=2),"要見直し",IF(P259&lt;0.15,"低利益","通常"))))</x:f>
      </x:c>
      <x:c r="V259" s="99" t="str">
        <x:f>IF(U259="","",IF(U259="赤字",100,0)+IF(S259&gt;=90,50,0)+IF(P259&lt;0.15,30,0)+IF(E259&gt;=15,10,0))</x:f>
      </x:c>
      <x:c r="W259" s="101" t="str">
        <x:f>IF(U259="","",IF(U259="赤字","価格・原価・送料を再確認",IF(AND(S259&gt;=90,H259&lt;=2),"値下げ・再出品・仕入停止を検討",IF(P259&lt;0.15,"送料・手数料を見直す","継続観察"))))</x:f>
      </x:c>
    </x:row>
    <x:row r="260">
      <x:c r="A260" s="95"/>
      <x:c r="B260" s="95"/>
      <x:c r="C260" s="95"/>
      <x:c r="D260" s="95"/>
      <x:c r="E260" s="95"/>
      <x:c r="F260" s="96"/>
      <x:c r="G260" s="96"/>
      <x:c r="H260" s="95"/>
      <x:c r="I260" s="97"/>
      <x:c r="J260" s="97"/>
      <x:c r="K260" s="98"/>
      <x:c r="L260" s="97"/>
      <x:c r="M260" s="97"/>
      <x:c r="N260" s="99" t="str">
        <x:f>IF(OR(I260="",K260=""),"",I260*K260)</x:f>
      </x:c>
      <x:c r="O260" s="99" t="str">
        <x:f>IF(OR(I260="",J260="",N260="",L260="",M260=""),"",I260-J260-N260-L260-M260)</x:f>
      </x:c>
      <x:c r="P260" s="100" t="str">
        <x:f>IFERROR(O260/I260,"")</x:f>
      </x:c>
      <x:c r="Q260" s="99" t="str">
        <x:f>IF(OR(H260="",I260=""),"",H260*I260)</x:f>
      </x:c>
      <x:c r="R260" s="99" t="str">
        <x:f>IF(OR(H260="",O260=""),"",H260*O260)</x:f>
      </x:c>
      <x:c r="S260" s="99" t="str">
        <x:f>IF(G260="","",$B$2-G260)</x:f>
      </x:c>
      <x:c r="T260" s="99" t="str">
        <x:f>IF(S260="","",IF(S260&gt;=90,"90日以上",IF(S260&gt;=60,"60-89日","59日以下")))</x:f>
      </x:c>
      <x:c r="U260" s="99" t="str">
        <x:f>IF(O260="","",IF(O260&lt;0,"赤字",IF(AND(S260&gt;=90,H260&lt;=2),"要見直し",IF(P260&lt;0.15,"低利益","通常"))))</x:f>
      </x:c>
      <x:c r="V260" s="99" t="str">
        <x:f>IF(U260="","",IF(U260="赤字",100,0)+IF(S260&gt;=90,50,0)+IF(P260&lt;0.15,30,0)+IF(E260&gt;=15,10,0))</x:f>
      </x:c>
      <x:c r="W260" s="101" t="str">
        <x:f>IF(U260="","",IF(U260="赤字","価格・原価・送料を再確認",IF(AND(S260&gt;=90,H260&lt;=2),"値下げ・再出品・仕入停止を検討",IF(P260&lt;0.15,"送料・手数料を見直す","継続観察"))))</x:f>
      </x:c>
    </x:row>
    <x:row r="261">
      <x:c r="A261" s="95"/>
      <x:c r="B261" s="95"/>
      <x:c r="C261" s="95"/>
      <x:c r="D261" s="95"/>
      <x:c r="E261" s="95"/>
      <x:c r="F261" s="96"/>
      <x:c r="G261" s="96"/>
      <x:c r="H261" s="95"/>
      <x:c r="I261" s="97"/>
      <x:c r="J261" s="97"/>
      <x:c r="K261" s="98"/>
      <x:c r="L261" s="97"/>
      <x:c r="M261" s="97"/>
      <x:c r="N261" s="99" t="str">
        <x:f>IF(OR(I261="",K261=""),"",I261*K261)</x:f>
      </x:c>
      <x:c r="O261" s="99" t="str">
        <x:f>IF(OR(I261="",J261="",N261="",L261="",M261=""),"",I261-J261-N261-L261-M261)</x:f>
      </x:c>
      <x:c r="P261" s="100" t="str">
        <x:f>IFERROR(O261/I261,"")</x:f>
      </x:c>
      <x:c r="Q261" s="99" t="str">
        <x:f>IF(OR(H261="",I261=""),"",H261*I261)</x:f>
      </x:c>
      <x:c r="R261" s="99" t="str">
        <x:f>IF(OR(H261="",O261=""),"",H261*O261)</x:f>
      </x:c>
      <x:c r="S261" s="99" t="str">
        <x:f>IF(G261="","",$B$2-G261)</x:f>
      </x:c>
      <x:c r="T261" s="99" t="str">
        <x:f>IF(S261="","",IF(S261&gt;=90,"90日以上",IF(S261&gt;=60,"60-89日","59日以下")))</x:f>
      </x:c>
      <x:c r="U261" s="99" t="str">
        <x:f>IF(O261="","",IF(O261&lt;0,"赤字",IF(AND(S261&gt;=90,H261&lt;=2),"要見直し",IF(P261&lt;0.15,"低利益","通常"))))</x:f>
      </x:c>
      <x:c r="V261" s="99" t="str">
        <x:f>IF(U261="","",IF(U261="赤字",100,0)+IF(S261&gt;=90,50,0)+IF(P261&lt;0.15,30,0)+IF(E261&gt;=15,10,0))</x:f>
      </x:c>
      <x:c r="W261" s="101" t="str">
        <x:f>IF(U261="","",IF(U261="赤字","価格・原価・送料を再確認",IF(AND(S261&gt;=90,H261&lt;=2),"値下げ・再出品・仕入停止を検討",IF(P261&lt;0.15,"送料・手数料を見直す","継続観察"))))</x:f>
      </x:c>
    </x:row>
    <x:row r="262">
      <x:c r="A262" s="95"/>
      <x:c r="B262" s="95"/>
      <x:c r="C262" s="95"/>
      <x:c r="D262" s="95"/>
      <x:c r="E262" s="95"/>
      <x:c r="F262" s="96"/>
      <x:c r="G262" s="96"/>
      <x:c r="H262" s="95"/>
      <x:c r="I262" s="97"/>
      <x:c r="J262" s="97"/>
      <x:c r="K262" s="98"/>
      <x:c r="L262" s="97"/>
      <x:c r="M262" s="97"/>
      <x:c r="N262" s="99" t="str">
        <x:f>IF(OR(I262="",K262=""),"",I262*K262)</x:f>
      </x:c>
      <x:c r="O262" s="99" t="str">
        <x:f>IF(OR(I262="",J262="",N262="",L262="",M262=""),"",I262-J262-N262-L262-M262)</x:f>
      </x:c>
      <x:c r="P262" s="100" t="str">
        <x:f>IFERROR(O262/I262,"")</x:f>
      </x:c>
      <x:c r="Q262" s="99" t="str">
        <x:f>IF(OR(H262="",I262=""),"",H262*I262)</x:f>
      </x:c>
      <x:c r="R262" s="99" t="str">
        <x:f>IF(OR(H262="",O262=""),"",H262*O262)</x:f>
      </x:c>
      <x:c r="S262" s="99" t="str">
        <x:f>IF(G262="","",$B$2-G262)</x:f>
      </x:c>
      <x:c r="T262" s="99" t="str">
        <x:f>IF(S262="","",IF(S262&gt;=90,"90日以上",IF(S262&gt;=60,"60-89日","59日以下")))</x:f>
      </x:c>
      <x:c r="U262" s="99" t="str">
        <x:f>IF(O262="","",IF(O262&lt;0,"赤字",IF(AND(S262&gt;=90,H262&lt;=2),"要見直し",IF(P262&lt;0.15,"低利益","通常"))))</x:f>
      </x:c>
      <x:c r="V262" s="99" t="str">
        <x:f>IF(U262="","",IF(U262="赤字",100,0)+IF(S262&gt;=90,50,0)+IF(P262&lt;0.15,30,0)+IF(E262&gt;=15,10,0))</x:f>
      </x:c>
      <x:c r="W262" s="101" t="str">
        <x:f>IF(U262="","",IF(U262="赤字","価格・原価・送料を再確認",IF(AND(S262&gt;=90,H262&lt;=2),"値下げ・再出品・仕入停止を検討",IF(P262&lt;0.15,"送料・手数料を見直す","継続観察"))))</x:f>
      </x:c>
    </x:row>
    <x:row r="263">
      <x:c r="A263" s="95"/>
      <x:c r="B263" s="95"/>
      <x:c r="C263" s="95"/>
      <x:c r="D263" s="95"/>
      <x:c r="E263" s="95"/>
      <x:c r="F263" s="96"/>
      <x:c r="G263" s="96"/>
      <x:c r="H263" s="95"/>
      <x:c r="I263" s="97"/>
      <x:c r="J263" s="97"/>
      <x:c r="K263" s="98"/>
      <x:c r="L263" s="97"/>
      <x:c r="M263" s="97"/>
      <x:c r="N263" s="99" t="str">
        <x:f>IF(OR(I263="",K263=""),"",I263*K263)</x:f>
      </x:c>
      <x:c r="O263" s="99" t="str">
        <x:f>IF(OR(I263="",J263="",N263="",L263="",M263=""),"",I263-J263-N263-L263-M263)</x:f>
      </x:c>
      <x:c r="P263" s="100" t="str">
        <x:f>IFERROR(O263/I263,"")</x:f>
      </x:c>
      <x:c r="Q263" s="99" t="str">
        <x:f>IF(OR(H263="",I263=""),"",H263*I263)</x:f>
      </x:c>
      <x:c r="R263" s="99" t="str">
        <x:f>IF(OR(H263="",O263=""),"",H263*O263)</x:f>
      </x:c>
      <x:c r="S263" s="99" t="str">
        <x:f>IF(G263="","",$B$2-G263)</x:f>
      </x:c>
      <x:c r="T263" s="99" t="str">
        <x:f>IF(S263="","",IF(S263&gt;=90,"90日以上",IF(S263&gt;=60,"60-89日","59日以下")))</x:f>
      </x:c>
      <x:c r="U263" s="99" t="str">
        <x:f>IF(O263="","",IF(O263&lt;0,"赤字",IF(AND(S263&gt;=90,H263&lt;=2),"要見直し",IF(P263&lt;0.15,"低利益","通常"))))</x:f>
      </x:c>
      <x:c r="V263" s="99" t="str">
        <x:f>IF(U263="","",IF(U263="赤字",100,0)+IF(S263&gt;=90,50,0)+IF(P263&lt;0.15,30,0)+IF(E263&gt;=15,10,0))</x:f>
      </x:c>
      <x:c r="W263" s="101" t="str">
        <x:f>IF(U263="","",IF(U263="赤字","価格・原価・送料を再確認",IF(AND(S263&gt;=90,H263&lt;=2),"値下げ・再出品・仕入停止を検討",IF(P263&lt;0.15,"送料・手数料を見直す","継続観察"))))</x:f>
      </x:c>
    </x:row>
    <x:row r="264">
      <x:c r="A264" s="95"/>
      <x:c r="B264" s="95"/>
      <x:c r="C264" s="95"/>
      <x:c r="D264" s="95"/>
      <x:c r="E264" s="95"/>
      <x:c r="F264" s="96"/>
      <x:c r="G264" s="96"/>
      <x:c r="H264" s="95"/>
      <x:c r="I264" s="97"/>
      <x:c r="J264" s="97"/>
      <x:c r="K264" s="98"/>
      <x:c r="L264" s="97"/>
      <x:c r="M264" s="97"/>
      <x:c r="N264" s="99" t="str">
        <x:f>IF(OR(I264="",K264=""),"",I264*K264)</x:f>
      </x:c>
      <x:c r="O264" s="99" t="str">
        <x:f>IF(OR(I264="",J264="",N264="",L264="",M264=""),"",I264-J264-N264-L264-M264)</x:f>
      </x:c>
      <x:c r="P264" s="100" t="str">
        <x:f>IFERROR(O264/I264,"")</x:f>
      </x:c>
      <x:c r="Q264" s="99" t="str">
        <x:f>IF(OR(H264="",I264=""),"",H264*I264)</x:f>
      </x:c>
      <x:c r="R264" s="99" t="str">
        <x:f>IF(OR(H264="",O264=""),"",H264*O264)</x:f>
      </x:c>
      <x:c r="S264" s="99" t="str">
        <x:f>IF(G264="","",$B$2-G264)</x:f>
      </x:c>
      <x:c r="T264" s="99" t="str">
        <x:f>IF(S264="","",IF(S264&gt;=90,"90日以上",IF(S264&gt;=60,"60-89日","59日以下")))</x:f>
      </x:c>
      <x:c r="U264" s="99" t="str">
        <x:f>IF(O264="","",IF(O264&lt;0,"赤字",IF(AND(S264&gt;=90,H264&lt;=2),"要見直し",IF(P264&lt;0.15,"低利益","通常"))))</x:f>
      </x:c>
      <x:c r="V264" s="99" t="str">
        <x:f>IF(U264="","",IF(U264="赤字",100,0)+IF(S264&gt;=90,50,0)+IF(P264&lt;0.15,30,0)+IF(E264&gt;=15,10,0))</x:f>
      </x:c>
      <x:c r="W264" s="101" t="str">
        <x:f>IF(U264="","",IF(U264="赤字","価格・原価・送料を再確認",IF(AND(S264&gt;=90,H264&lt;=2),"値下げ・再出品・仕入停止を検討",IF(P264&lt;0.15,"送料・手数料を見直す","継続観察"))))</x:f>
      </x:c>
    </x:row>
    <x:row r="265">
      <x:c r="A265" s="95"/>
      <x:c r="B265" s="95"/>
      <x:c r="C265" s="95"/>
      <x:c r="D265" s="95"/>
      <x:c r="E265" s="95"/>
      <x:c r="F265" s="96"/>
      <x:c r="G265" s="96"/>
      <x:c r="H265" s="95"/>
      <x:c r="I265" s="97"/>
      <x:c r="J265" s="97"/>
      <x:c r="K265" s="98"/>
      <x:c r="L265" s="97"/>
      <x:c r="M265" s="97"/>
      <x:c r="N265" s="99" t="str">
        <x:f>IF(OR(I265="",K265=""),"",I265*K265)</x:f>
      </x:c>
      <x:c r="O265" s="99" t="str">
        <x:f>IF(OR(I265="",J265="",N265="",L265="",M265=""),"",I265-J265-N265-L265-M265)</x:f>
      </x:c>
      <x:c r="P265" s="100" t="str">
        <x:f>IFERROR(O265/I265,"")</x:f>
      </x:c>
      <x:c r="Q265" s="99" t="str">
        <x:f>IF(OR(H265="",I265=""),"",H265*I265)</x:f>
      </x:c>
      <x:c r="R265" s="99" t="str">
        <x:f>IF(OR(H265="",O265=""),"",H265*O265)</x:f>
      </x:c>
      <x:c r="S265" s="99" t="str">
        <x:f>IF(G265="","",$B$2-G265)</x:f>
      </x:c>
      <x:c r="T265" s="99" t="str">
        <x:f>IF(S265="","",IF(S265&gt;=90,"90日以上",IF(S265&gt;=60,"60-89日","59日以下")))</x:f>
      </x:c>
      <x:c r="U265" s="99" t="str">
        <x:f>IF(O265="","",IF(O265&lt;0,"赤字",IF(AND(S265&gt;=90,H265&lt;=2),"要見直し",IF(P265&lt;0.15,"低利益","通常"))))</x:f>
      </x:c>
      <x:c r="V265" s="99" t="str">
        <x:f>IF(U265="","",IF(U265="赤字",100,0)+IF(S265&gt;=90,50,0)+IF(P265&lt;0.15,30,0)+IF(E265&gt;=15,10,0))</x:f>
      </x:c>
      <x:c r="W265" s="101" t="str">
        <x:f>IF(U265="","",IF(U265="赤字","価格・原価・送料を再確認",IF(AND(S265&gt;=90,H265&lt;=2),"値下げ・再出品・仕入停止を検討",IF(P265&lt;0.15,"送料・手数料を見直す","継続観察"))))</x:f>
      </x:c>
    </x:row>
    <x:row r="266">
      <x:c r="A266" s="95"/>
      <x:c r="B266" s="95"/>
      <x:c r="C266" s="95"/>
      <x:c r="D266" s="95"/>
      <x:c r="E266" s="95"/>
      <x:c r="F266" s="96"/>
      <x:c r="G266" s="96"/>
      <x:c r="H266" s="95"/>
      <x:c r="I266" s="97"/>
      <x:c r="J266" s="97"/>
      <x:c r="K266" s="98"/>
      <x:c r="L266" s="97"/>
      <x:c r="M266" s="97"/>
      <x:c r="N266" s="99" t="str">
        <x:f>IF(OR(I266="",K266=""),"",I266*K266)</x:f>
      </x:c>
      <x:c r="O266" s="99" t="str">
        <x:f>IF(OR(I266="",J266="",N266="",L266="",M266=""),"",I266-J266-N266-L266-M266)</x:f>
      </x:c>
      <x:c r="P266" s="100" t="str">
        <x:f>IFERROR(O266/I266,"")</x:f>
      </x:c>
      <x:c r="Q266" s="99" t="str">
        <x:f>IF(OR(H266="",I266=""),"",H266*I266)</x:f>
      </x:c>
      <x:c r="R266" s="99" t="str">
        <x:f>IF(OR(H266="",O266=""),"",H266*O266)</x:f>
      </x:c>
      <x:c r="S266" s="99" t="str">
        <x:f>IF(G266="","",$B$2-G266)</x:f>
      </x:c>
      <x:c r="T266" s="99" t="str">
        <x:f>IF(S266="","",IF(S266&gt;=90,"90日以上",IF(S266&gt;=60,"60-89日","59日以下")))</x:f>
      </x:c>
      <x:c r="U266" s="99" t="str">
        <x:f>IF(O266="","",IF(O266&lt;0,"赤字",IF(AND(S266&gt;=90,H266&lt;=2),"要見直し",IF(P266&lt;0.15,"低利益","通常"))))</x:f>
      </x:c>
      <x:c r="V266" s="99" t="str">
        <x:f>IF(U266="","",IF(U266="赤字",100,0)+IF(S266&gt;=90,50,0)+IF(P266&lt;0.15,30,0)+IF(E266&gt;=15,10,0))</x:f>
      </x:c>
      <x:c r="W266" s="101" t="str">
        <x:f>IF(U266="","",IF(U266="赤字","価格・原価・送料を再確認",IF(AND(S266&gt;=90,H266&lt;=2),"値下げ・再出品・仕入停止を検討",IF(P266&lt;0.15,"送料・手数料を見直す","継続観察"))))</x:f>
      </x:c>
    </x:row>
    <x:row r="267">
      <x:c r="A267" s="95"/>
      <x:c r="B267" s="95"/>
      <x:c r="C267" s="95"/>
      <x:c r="D267" s="95"/>
      <x:c r="E267" s="95"/>
      <x:c r="F267" s="96"/>
      <x:c r="G267" s="96"/>
      <x:c r="H267" s="95"/>
      <x:c r="I267" s="97"/>
      <x:c r="J267" s="97"/>
      <x:c r="K267" s="98"/>
      <x:c r="L267" s="97"/>
      <x:c r="M267" s="97"/>
      <x:c r="N267" s="99" t="str">
        <x:f>IF(OR(I267="",K267=""),"",I267*K267)</x:f>
      </x:c>
      <x:c r="O267" s="99" t="str">
        <x:f>IF(OR(I267="",J267="",N267="",L267="",M267=""),"",I267-J267-N267-L267-M267)</x:f>
      </x:c>
      <x:c r="P267" s="100" t="str">
        <x:f>IFERROR(O267/I267,"")</x:f>
      </x:c>
      <x:c r="Q267" s="99" t="str">
        <x:f>IF(OR(H267="",I267=""),"",H267*I267)</x:f>
      </x:c>
      <x:c r="R267" s="99" t="str">
        <x:f>IF(OR(H267="",O267=""),"",H267*O267)</x:f>
      </x:c>
      <x:c r="S267" s="99" t="str">
        <x:f>IF(G267="","",$B$2-G267)</x:f>
      </x:c>
      <x:c r="T267" s="99" t="str">
        <x:f>IF(S267="","",IF(S267&gt;=90,"90日以上",IF(S267&gt;=60,"60-89日","59日以下")))</x:f>
      </x:c>
      <x:c r="U267" s="99" t="str">
        <x:f>IF(O267="","",IF(O267&lt;0,"赤字",IF(AND(S267&gt;=90,H267&lt;=2),"要見直し",IF(P267&lt;0.15,"低利益","通常"))))</x:f>
      </x:c>
      <x:c r="V267" s="99" t="str">
        <x:f>IF(U267="","",IF(U267="赤字",100,0)+IF(S267&gt;=90,50,0)+IF(P267&lt;0.15,30,0)+IF(E267&gt;=15,10,0))</x:f>
      </x:c>
      <x:c r="W267" s="101" t="str">
        <x:f>IF(U267="","",IF(U267="赤字","価格・原価・送料を再確認",IF(AND(S267&gt;=90,H267&lt;=2),"値下げ・再出品・仕入停止を検討",IF(P267&lt;0.15,"送料・手数料を見直す","継続観察"))))</x:f>
      </x:c>
    </x:row>
    <x:row r="268">
      <x:c r="A268" s="95"/>
      <x:c r="B268" s="95"/>
      <x:c r="C268" s="95"/>
      <x:c r="D268" s="95"/>
      <x:c r="E268" s="95"/>
      <x:c r="F268" s="96"/>
      <x:c r="G268" s="96"/>
      <x:c r="H268" s="95"/>
      <x:c r="I268" s="97"/>
      <x:c r="J268" s="97"/>
      <x:c r="K268" s="98"/>
      <x:c r="L268" s="97"/>
      <x:c r="M268" s="97"/>
      <x:c r="N268" s="99" t="str">
        <x:f>IF(OR(I268="",K268=""),"",I268*K268)</x:f>
      </x:c>
      <x:c r="O268" s="99" t="str">
        <x:f>IF(OR(I268="",J268="",N268="",L268="",M268=""),"",I268-J268-N268-L268-M268)</x:f>
      </x:c>
      <x:c r="P268" s="100" t="str">
        <x:f>IFERROR(O268/I268,"")</x:f>
      </x:c>
      <x:c r="Q268" s="99" t="str">
        <x:f>IF(OR(H268="",I268=""),"",H268*I268)</x:f>
      </x:c>
      <x:c r="R268" s="99" t="str">
        <x:f>IF(OR(H268="",O268=""),"",H268*O268)</x:f>
      </x:c>
      <x:c r="S268" s="99" t="str">
        <x:f>IF(G268="","",$B$2-G268)</x:f>
      </x:c>
      <x:c r="T268" s="99" t="str">
        <x:f>IF(S268="","",IF(S268&gt;=90,"90日以上",IF(S268&gt;=60,"60-89日","59日以下")))</x:f>
      </x:c>
      <x:c r="U268" s="99" t="str">
        <x:f>IF(O268="","",IF(O268&lt;0,"赤字",IF(AND(S268&gt;=90,H268&lt;=2),"要見直し",IF(P268&lt;0.15,"低利益","通常"))))</x:f>
      </x:c>
      <x:c r="V268" s="99" t="str">
        <x:f>IF(U268="","",IF(U268="赤字",100,0)+IF(S268&gt;=90,50,0)+IF(P268&lt;0.15,30,0)+IF(E268&gt;=15,10,0))</x:f>
      </x:c>
      <x:c r="W268" s="101" t="str">
        <x:f>IF(U268="","",IF(U268="赤字","価格・原価・送料を再確認",IF(AND(S268&gt;=90,H268&lt;=2),"値下げ・再出品・仕入停止を検討",IF(P268&lt;0.15,"送料・手数料を見直す","継続観察"))))</x:f>
      </x:c>
    </x:row>
    <x:row r="269">
      <x:c r="A269" s="95"/>
      <x:c r="B269" s="95"/>
      <x:c r="C269" s="95"/>
      <x:c r="D269" s="95"/>
      <x:c r="E269" s="95"/>
      <x:c r="F269" s="96"/>
      <x:c r="G269" s="96"/>
      <x:c r="H269" s="95"/>
      <x:c r="I269" s="97"/>
      <x:c r="J269" s="97"/>
      <x:c r="K269" s="98"/>
      <x:c r="L269" s="97"/>
      <x:c r="M269" s="97"/>
      <x:c r="N269" s="99" t="str">
        <x:f>IF(OR(I269="",K269=""),"",I269*K269)</x:f>
      </x:c>
      <x:c r="O269" s="99" t="str">
        <x:f>IF(OR(I269="",J269="",N269="",L269="",M269=""),"",I269-J269-N269-L269-M269)</x:f>
      </x:c>
      <x:c r="P269" s="100" t="str">
        <x:f>IFERROR(O269/I269,"")</x:f>
      </x:c>
      <x:c r="Q269" s="99" t="str">
        <x:f>IF(OR(H269="",I269=""),"",H269*I269)</x:f>
      </x:c>
      <x:c r="R269" s="99" t="str">
        <x:f>IF(OR(H269="",O269=""),"",H269*O269)</x:f>
      </x:c>
      <x:c r="S269" s="99" t="str">
        <x:f>IF(G269="","",$B$2-G269)</x:f>
      </x:c>
      <x:c r="T269" s="99" t="str">
        <x:f>IF(S269="","",IF(S269&gt;=90,"90日以上",IF(S269&gt;=60,"60-89日","59日以下")))</x:f>
      </x:c>
      <x:c r="U269" s="99" t="str">
        <x:f>IF(O269="","",IF(O269&lt;0,"赤字",IF(AND(S269&gt;=90,H269&lt;=2),"要見直し",IF(P269&lt;0.15,"低利益","通常"))))</x:f>
      </x:c>
      <x:c r="V269" s="99" t="str">
        <x:f>IF(U269="","",IF(U269="赤字",100,0)+IF(S269&gt;=90,50,0)+IF(P269&lt;0.15,30,0)+IF(E269&gt;=15,10,0))</x:f>
      </x:c>
      <x:c r="W269" s="101" t="str">
        <x:f>IF(U269="","",IF(U269="赤字","価格・原価・送料を再確認",IF(AND(S269&gt;=90,H269&lt;=2),"値下げ・再出品・仕入停止を検討",IF(P269&lt;0.15,"送料・手数料を見直す","継続観察"))))</x:f>
      </x:c>
    </x:row>
    <x:row r="270">
      <x:c r="A270" s="95"/>
      <x:c r="B270" s="95"/>
      <x:c r="C270" s="95"/>
      <x:c r="D270" s="95"/>
      <x:c r="E270" s="95"/>
      <x:c r="F270" s="96"/>
      <x:c r="G270" s="96"/>
      <x:c r="H270" s="95"/>
      <x:c r="I270" s="97"/>
      <x:c r="J270" s="97"/>
      <x:c r="K270" s="98"/>
      <x:c r="L270" s="97"/>
      <x:c r="M270" s="97"/>
      <x:c r="N270" s="99" t="str">
        <x:f>IF(OR(I270="",K270=""),"",I270*K270)</x:f>
      </x:c>
      <x:c r="O270" s="99" t="str">
        <x:f>IF(OR(I270="",J270="",N270="",L270="",M270=""),"",I270-J270-N270-L270-M270)</x:f>
      </x:c>
      <x:c r="P270" s="100" t="str">
        <x:f>IFERROR(O270/I270,"")</x:f>
      </x:c>
      <x:c r="Q270" s="99" t="str">
        <x:f>IF(OR(H270="",I270=""),"",H270*I270)</x:f>
      </x:c>
      <x:c r="R270" s="99" t="str">
        <x:f>IF(OR(H270="",O270=""),"",H270*O270)</x:f>
      </x:c>
      <x:c r="S270" s="99" t="str">
        <x:f>IF(G270="","",$B$2-G270)</x:f>
      </x:c>
      <x:c r="T270" s="99" t="str">
        <x:f>IF(S270="","",IF(S270&gt;=90,"90日以上",IF(S270&gt;=60,"60-89日","59日以下")))</x:f>
      </x:c>
      <x:c r="U270" s="99" t="str">
        <x:f>IF(O270="","",IF(O270&lt;0,"赤字",IF(AND(S270&gt;=90,H270&lt;=2),"要見直し",IF(P270&lt;0.15,"低利益","通常"))))</x:f>
      </x:c>
      <x:c r="V270" s="99" t="str">
        <x:f>IF(U270="","",IF(U270="赤字",100,0)+IF(S270&gt;=90,50,0)+IF(P270&lt;0.15,30,0)+IF(E270&gt;=15,10,0))</x:f>
      </x:c>
      <x:c r="W270" s="101" t="str">
        <x:f>IF(U270="","",IF(U270="赤字","価格・原価・送料を再確認",IF(AND(S270&gt;=90,H270&lt;=2),"値下げ・再出品・仕入停止を検討",IF(P270&lt;0.15,"送料・手数料を見直す","継続観察"))))</x:f>
      </x:c>
    </x:row>
    <x:row r="271">
      <x:c r="A271" s="95"/>
      <x:c r="B271" s="95"/>
      <x:c r="C271" s="95"/>
      <x:c r="D271" s="95"/>
      <x:c r="E271" s="95"/>
      <x:c r="F271" s="96"/>
      <x:c r="G271" s="96"/>
      <x:c r="H271" s="95"/>
      <x:c r="I271" s="97"/>
      <x:c r="J271" s="97"/>
      <x:c r="K271" s="98"/>
      <x:c r="L271" s="97"/>
      <x:c r="M271" s="97"/>
      <x:c r="N271" s="99" t="str">
        <x:f>IF(OR(I271="",K271=""),"",I271*K271)</x:f>
      </x:c>
      <x:c r="O271" s="99" t="str">
        <x:f>IF(OR(I271="",J271="",N271="",L271="",M271=""),"",I271-J271-N271-L271-M271)</x:f>
      </x:c>
      <x:c r="P271" s="100" t="str">
        <x:f>IFERROR(O271/I271,"")</x:f>
      </x:c>
      <x:c r="Q271" s="99" t="str">
        <x:f>IF(OR(H271="",I271=""),"",H271*I271)</x:f>
      </x:c>
      <x:c r="R271" s="99" t="str">
        <x:f>IF(OR(H271="",O271=""),"",H271*O271)</x:f>
      </x:c>
      <x:c r="S271" s="99" t="str">
        <x:f>IF(G271="","",$B$2-G271)</x:f>
      </x:c>
      <x:c r="T271" s="99" t="str">
        <x:f>IF(S271="","",IF(S271&gt;=90,"90日以上",IF(S271&gt;=60,"60-89日","59日以下")))</x:f>
      </x:c>
      <x:c r="U271" s="99" t="str">
        <x:f>IF(O271="","",IF(O271&lt;0,"赤字",IF(AND(S271&gt;=90,H271&lt;=2),"要見直し",IF(P271&lt;0.15,"低利益","通常"))))</x:f>
      </x:c>
      <x:c r="V271" s="99" t="str">
        <x:f>IF(U271="","",IF(U271="赤字",100,0)+IF(S271&gt;=90,50,0)+IF(P271&lt;0.15,30,0)+IF(E271&gt;=15,10,0))</x:f>
      </x:c>
      <x:c r="W271" s="101" t="str">
        <x:f>IF(U271="","",IF(U271="赤字","価格・原価・送料を再確認",IF(AND(S271&gt;=90,H271&lt;=2),"値下げ・再出品・仕入停止を検討",IF(P271&lt;0.15,"送料・手数料を見直す","継続観察"))))</x:f>
      </x:c>
    </x:row>
    <x:row r="272">
      <x:c r="A272" s="95"/>
      <x:c r="B272" s="95"/>
      <x:c r="C272" s="95"/>
      <x:c r="D272" s="95"/>
      <x:c r="E272" s="95"/>
      <x:c r="F272" s="96"/>
      <x:c r="G272" s="96"/>
      <x:c r="H272" s="95"/>
      <x:c r="I272" s="97"/>
      <x:c r="J272" s="97"/>
      <x:c r="K272" s="98"/>
      <x:c r="L272" s="97"/>
      <x:c r="M272" s="97"/>
      <x:c r="N272" s="99" t="str">
        <x:f>IF(OR(I272="",K272=""),"",I272*K272)</x:f>
      </x:c>
      <x:c r="O272" s="99" t="str">
        <x:f>IF(OR(I272="",J272="",N272="",L272="",M272=""),"",I272-J272-N272-L272-M272)</x:f>
      </x:c>
      <x:c r="P272" s="100" t="str">
        <x:f>IFERROR(O272/I272,"")</x:f>
      </x:c>
      <x:c r="Q272" s="99" t="str">
        <x:f>IF(OR(H272="",I272=""),"",H272*I272)</x:f>
      </x:c>
      <x:c r="R272" s="99" t="str">
        <x:f>IF(OR(H272="",O272=""),"",H272*O272)</x:f>
      </x:c>
      <x:c r="S272" s="99" t="str">
        <x:f>IF(G272="","",$B$2-G272)</x:f>
      </x:c>
      <x:c r="T272" s="99" t="str">
        <x:f>IF(S272="","",IF(S272&gt;=90,"90日以上",IF(S272&gt;=60,"60-89日","59日以下")))</x:f>
      </x:c>
      <x:c r="U272" s="99" t="str">
        <x:f>IF(O272="","",IF(O272&lt;0,"赤字",IF(AND(S272&gt;=90,H272&lt;=2),"要見直し",IF(P272&lt;0.15,"低利益","通常"))))</x:f>
      </x:c>
      <x:c r="V272" s="99" t="str">
        <x:f>IF(U272="","",IF(U272="赤字",100,0)+IF(S272&gt;=90,50,0)+IF(P272&lt;0.15,30,0)+IF(E272&gt;=15,10,0))</x:f>
      </x:c>
      <x:c r="W272" s="101" t="str">
        <x:f>IF(U272="","",IF(U272="赤字","価格・原価・送料を再確認",IF(AND(S272&gt;=90,H272&lt;=2),"値下げ・再出品・仕入停止を検討",IF(P272&lt;0.15,"送料・手数料を見直す","継続観察"))))</x:f>
      </x:c>
    </x:row>
    <x:row r="273">
      <x:c r="A273" s="95"/>
      <x:c r="B273" s="95"/>
      <x:c r="C273" s="95"/>
      <x:c r="D273" s="95"/>
      <x:c r="E273" s="95"/>
      <x:c r="F273" s="96"/>
      <x:c r="G273" s="96"/>
      <x:c r="H273" s="95"/>
      <x:c r="I273" s="97"/>
      <x:c r="J273" s="97"/>
      <x:c r="K273" s="98"/>
      <x:c r="L273" s="97"/>
      <x:c r="M273" s="97"/>
      <x:c r="N273" s="99" t="str">
        <x:f>IF(OR(I273="",K273=""),"",I273*K273)</x:f>
      </x:c>
      <x:c r="O273" s="99" t="str">
        <x:f>IF(OR(I273="",J273="",N273="",L273="",M273=""),"",I273-J273-N273-L273-M273)</x:f>
      </x:c>
      <x:c r="P273" s="100" t="str">
        <x:f>IFERROR(O273/I273,"")</x:f>
      </x:c>
      <x:c r="Q273" s="99" t="str">
        <x:f>IF(OR(H273="",I273=""),"",H273*I273)</x:f>
      </x:c>
      <x:c r="R273" s="99" t="str">
        <x:f>IF(OR(H273="",O273=""),"",H273*O273)</x:f>
      </x:c>
      <x:c r="S273" s="99" t="str">
        <x:f>IF(G273="","",$B$2-G273)</x:f>
      </x:c>
      <x:c r="T273" s="99" t="str">
        <x:f>IF(S273="","",IF(S273&gt;=90,"90日以上",IF(S273&gt;=60,"60-89日","59日以下")))</x:f>
      </x:c>
      <x:c r="U273" s="99" t="str">
        <x:f>IF(O273="","",IF(O273&lt;0,"赤字",IF(AND(S273&gt;=90,H273&lt;=2),"要見直し",IF(P273&lt;0.15,"低利益","通常"))))</x:f>
      </x:c>
      <x:c r="V273" s="99" t="str">
        <x:f>IF(U273="","",IF(U273="赤字",100,0)+IF(S273&gt;=90,50,0)+IF(P273&lt;0.15,30,0)+IF(E273&gt;=15,10,0))</x:f>
      </x:c>
      <x:c r="W273" s="101" t="str">
        <x:f>IF(U273="","",IF(U273="赤字","価格・原価・送料を再確認",IF(AND(S273&gt;=90,H273&lt;=2),"値下げ・再出品・仕入停止を検討",IF(P273&lt;0.15,"送料・手数料を見直す","継続観察"))))</x:f>
      </x:c>
    </x:row>
    <x:row r="274">
      <x:c r="A274" s="95"/>
      <x:c r="B274" s="95"/>
      <x:c r="C274" s="95"/>
      <x:c r="D274" s="95"/>
      <x:c r="E274" s="95"/>
      <x:c r="F274" s="96"/>
      <x:c r="G274" s="96"/>
      <x:c r="H274" s="95"/>
      <x:c r="I274" s="97"/>
      <x:c r="J274" s="97"/>
      <x:c r="K274" s="98"/>
      <x:c r="L274" s="97"/>
      <x:c r="M274" s="97"/>
      <x:c r="N274" s="99" t="str">
        <x:f>IF(OR(I274="",K274=""),"",I274*K274)</x:f>
      </x:c>
      <x:c r="O274" s="99" t="str">
        <x:f>IF(OR(I274="",J274="",N274="",L274="",M274=""),"",I274-J274-N274-L274-M274)</x:f>
      </x:c>
      <x:c r="P274" s="100" t="str">
        <x:f>IFERROR(O274/I274,"")</x:f>
      </x:c>
      <x:c r="Q274" s="99" t="str">
        <x:f>IF(OR(H274="",I274=""),"",H274*I274)</x:f>
      </x:c>
      <x:c r="R274" s="99" t="str">
        <x:f>IF(OR(H274="",O274=""),"",H274*O274)</x:f>
      </x:c>
      <x:c r="S274" s="99" t="str">
        <x:f>IF(G274="","",$B$2-G274)</x:f>
      </x:c>
      <x:c r="T274" s="99" t="str">
        <x:f>IF(S274="","",IF(S274&gt;=90,"90日以上",IF(S274&gt;=60,"60-89日","59日以下")))</x:f>
      </x:c>
      <x:c r="U274" s="99" t="str">
        <x:f>IF(O274="","",IF(O274&lt;0,"赤字",IF(AND(S274&gt;=90,H274&lt;=2),"要見直し",IF(P274&lt;0.15,"低利益","通常"))))</x:f>
      </x:c>
      <x:c r="V274" s="99" t="str">
        <x:f>IF(U274="","",IF(U274="赤字",100,0)+IF(S274&gt;=90,50,0)+IF(P274&lt;0.15,30,0)+IF(E274&gt;=15,10,0))</x:f>
      </x:c>
      <x:c r="W274" s="101" t="str">
        <x:f>IF(U274="","",IF(U274="赤字","価格・原価・送料を再確認",IF(AND(S274&gt;=90,H274&lt;=2),"値下げ・再出品・仕入停止を検討",IF(P274&lt;0.15,"送料・手数料を見直す","継続観察"))))</x:f>
      </x:c>
    </x:row>
    <x:row r="275">
      <x:c r="A275" s="95"/>
      <x:c r="B275" s="95"/>
      <x:c r="C275" s="95"/>
      <x:c r="D275" s="95"/>
      <x:c r="E275" s="95"/>
      <x:c r="F275" s="96"/>
      <x:c r="G275" s="96"/>
      <x:c r="H275" s="95"/>
      <x:c r="I275" s="97"/>
      <x:c r="J275" s="97"/>
      <x:c r="K275" s="98"/>
      <x:c r="L275" s="97"/>
      <x:c r="M275" s="97"/>
      <x:c r="N275" s="99" t="str">
        <x:f>IF(OR(I275="",K275=""),"",I275*K275)</x:f>
      </x:c>
      <x:c r="O275" s="99" t="str">
        <x:f>IF(OR(I275="",J275="",N275="",L275="",M275=""),"",I275-J275-N275-L275-M275)</x:f>
      </x:c>
      <x:c r="P275" s="100" t="str">
        <x:f>IFERROR(O275/I275,"")</x:f>
      </x:c>
      <x:c r="Q275" s="99" t="str">
        <x:f>IF(OR(H275="",I275=""),"",H275*I275)</x:f>
      </x:c>
      <x:c r="R275" s="99" t="str">
        <x:f>IF(OR(H275="",O275=""),"",H275*O275)</x:f>
      </x:c>
      <x:c r="S275" s="99" t="str">
        <x:f>IF(G275="","",$B$2-G275)</x:f>
      </x:c>
      <x:c r="T275" s="99" t="str">
        <x:f>IF(S275="","",IF(S275&gt;=90,"90日以上",IF(S275&gt;=60,"60-89日","59日以下")))</x:f>
      </x:c>
      <x:c r="U275" s="99" t="str">
        <x:f>IF(O275="","",IF(O275&lt;0,"赤字",IF(AND(S275&gt;=90,H275&lt;=2),"要見直し",IF(P275&lt;0.15,"低利益","通常"))))</x:f>
      </x:c>
      <x:c r="V275" s="99" t="str">
        <x:f>IF(U275="","",IF(U275="赤字",100,0)+IF(S275&gt;=90,50,0)+IF(P275&lt;0.15,30,0)+IF(E275&gt;=15,10,0))</x:f>
      </x:c>
      <x:c r="W275" s="101" t="str">
        <x:f>IF(U275="","",IF(U275="赤字","価格・原価・送料を再確認",IF(AND(S275&gt;=90,H275&lt;=2),"値下げ・再出品・仕入停止を検討",IF(P275&lt;0.15,"送料・手数料を見直す","継続観察"))))</x:f>
      </x:c>
    </x:row>
    <x:row r="276">
      <x:c r="A276" s="95"/>
      <x:c r="B276" s="95"/>
      <x:c r="C276" s="95"/>
      <x:c r="D276" s="95"/>
      <x:c r="E276" s="95"/>
      <x:c r="F276" s="96"/>
      <x:c r="G276" s="96"/>
      <x:c r="H276" s="95"/>
      <x:c r="I276" s="97"/>
      <x:c r="J276" s="97"/>
      <x:c r="K276" s="98"/>
      <x:c r="L276" s="97"/>
      <x:c r="M276" s="97"/>
      <x:c r="N276" s="99" t="str">
        <x:f>IF(OR(I276="",K276=""),"",I276*K276)</x:f>
      </x:c>
      <x:c r="O276" s="99" t="str">
        <x:f>IF(OR(I276="",J276="",N276="",L276="",M276=""),"",I276-J276-N276-L276-M276)</x:f>
      </x:c>
      <x:c r="P276" s="100" t="str">
        <x:f>IFERROR(O276/I276,"")</x:f>
      </x:c>
      <x:c r="Q276" s="99" t="str">
        <x:f>IF(OR(H276="",I276=""),"",H276*I276)</x:f>
      </x:c>
      <x:c r="R276" s="99" t="str">
        <x:f>IF(OR(H276="",O276=""),"",H276*O276)</x:f>
      </x:c>
      <x:c r="S276" s="99" t="str">
        <x:f>IF(G276="","",$B$2-G276)</x:f>
      </x:c>
      <x:c r="T276" s="99" t="str">
        <x:f>IF(S276="","",IF(S276&gt;=90,"90日以上",IF(S276&gt;=60,"60-89日","59日以下")))</x:f>
      </x:c>
      <x:c r="U276" s="99" t="str">
        <x:f>IF(O276="","",IF(O276&lt;0,"赤字",IF(AND(S276&gt;=90,H276&lt;=2),"要見直し",IF(P276&lt;0.15,"低利益","通常"))))</x:f>
      </x:c>
      <x:c r="V276" s="99" t="str">
        <x:f>IF(U276="","",IF(U276="赤字",100,0)+IF(S276&gt;=90,50,0)+IF(P276&lt;0.15,30,0)+IF(E276&gt;=15,10,0))</x:f>
      </x:c>
      <x:c r="W276" s="101" t="str">
        <x:f>IF(U276="","",IF(U276="赤字","価格・原価・送料を再確認",IF(AND(S276&gt;=90,H276&lt;=2),"値下げ・再出品・仕入停止を検討",IF(P276&lt;0.15,"送料・手数料を見直す","継続観察"))))</x:f>
      </x:c>
    </x:row>
    <x:row r="277">
      <x:c r="A277" s="95"/>
      <x:c r="B277" s="95"/>
      <x:c r="C277" s="95"/>
      <x:c r="D277" s="95"/>
      <x:c r="E277" s="95"/>
      <x:c r="F277" s="96"/>
      <x:c r="G277" s="96"/>
      <x:c r="H277" s="95"/>
      <x:c r="I277" s="97"/>
      <x:c r="J277" s="97"/>
      <x:c r="K277" s="98"/>
      <x:c r="L277" s="97"/>
      <x:c r="M277" s="97"/>
      <x:c r="N277" s="99" t="str">
        <x:f>IF(OR(I277="",K277=""),"",I277*K277)</x:f>
      </x:c>
      <x:c r="O277" s="99" t="str">
        <x:f>IF(OR(I277="",J277="",N277="",L277="",M277=""),"",I277-J277-N277-L277-M277)</x:f>
      </x:c>
      <x:c r="P277" s="100" t="str">
        <x:f>IFERROR(O277/I277,"")</x:f>
      </x:c>
      <x:c r="Q277" s="99" t="str">
        <x:f>IF(OR(H277="",I277=""),"",H277*I277)</x:f>
      </x:c>
      <x:c r="R277" s="99" t="str">
        <x:f>IF(OR(H277="",O277=""),"",H277*O277)</x:f>
      </x:c>
      <x:c r="S277" s="99" t="str">
        <x:f>IF(G277="","",$B$2-G277)</x:f>
      </x:c>
      <x:c r="T277" s="99" t="str">
        <x:f>IF(S277="","",IF(S277&gt;=90,"90日以上",IF(S277&gt;=60,"60-89日","59日以下")))</x:f>
      </x:c>
      <x:c r="U277" s="99" t="str">
        <x:f>IF(O277="","",IF(O277&lt;0,"赤字",IF(AND(S277&gt;=90,H277&lt;=2),"要見直し",IF(P277&lt;0.15,"低利益","通常"))))</x:f>
      </x:c>
      <x:c r="V277" s="99" t="str">
        <x:f>IF(U277="","",IF(U277="赤字",100,0)+IF(S277&gt;=90,50,0)+IF(P277&lt;0.15,30,0)+IF(E277&gt;=15,10,0))</x:f>
      </x:c>
      <x:c r="W277" s="101" t="str">
        <x:f>IF(U277="","",IF(U277="赤字","価格・原価・送料を再確認",IF(AND(S277&gt;=90,H277&lt;=2),"値下げ・再出品・仕入停止を検討",IF(P277&lt;0.15,"送料・手数料を見直す","継続観察"))))</x:f>
      </x:c>
    </x:row>
    <x:row r="278">
      <x:c r="A278" s="95"/>
      <x:c r="B278" s="95"/>
      <x:c r="C278" s="95"/>
      <x:c r="D278" s="95"/>
      <x:c r="E278" s="95"/>
      <x:c r="F278" s="96"/>
      <x:c r="G278" s="96"/>
      <x:c r="H278" s="95"/>
      <x:c r="I278" s="97"/>
      <x:c r="J278" s="97"/>
      <x:c r="K278" s="98"/>
      <x:c r="L278" s="97"/>
      <x:c r="M278" s="97"/>
      <x:c r="N278" s="99" t="str">
        <x:f>IF(OR(I278="",K278=""),"",I278*K278)</x:f>
      </x:c>
      <x:c r="O278" s="99" t="str">
        <x:f>IF(OR(I278="",J278="",N278="",L278="",M278=""),"",I278-J278-N278-L278-M278)</x:f>
      </x:c>
      <x:c r="P278" s="100" t="str">
        <x:f>IFERROR(O278/I278,"")</x:f>
      </x:c>
      <x:c r="Q278" s="99" t="str">
        <x:f>IF(OR(H278="",I278=""),"",H278*I278)</x:f>
      </x:c>
      <x:c r="R278" s="99" t="str">
        <x:f>IF(OR(H278="",O278=""),"",H278*O278)</x:f>
      </x:c>
      <x:c r="S278" s="99" t="str">
        <x:f>IF(G278="","",$B$2-G278)</x:f>
      </x:c>
      <x:c r="T278" s="99" t="str">
        <x:f>IF(S278="","",IF(S278&gt;=90,"90日以上",IF(S278&gt;=60,"60-89日","59日以下")))</x:f>
      </x:c>
      <x:c r="U278" s="99" t="str">
        <x:f>IF(O278="","",IF(O278&lt;0,"赤字",IF(AND(S278&gt;=90,H278&lt;=2),"要見直し",IF(P278&lt;0.15,"低利益","通常"))))</x:f>
      </x:c>
      <x:c r="V278" s="99" t="str">
        <x:f>IF(U278="","",IF(U278="赤字",100,0)+IF(S278&gt;=90,50,0)+IF(P278&lt;0.15,30,0)+IF(E278&gt;=15,10,0))</x:f>
      </x:c>
      <x:c r="W278" s="101" t="str">
        <x:f>IF(U278="","",IF(U278="赤字","価格・原価・送料を再確認",IF(AND(S278&gt;=90,H278&lt;=2),"値下げ・再出品・仕入停止を検討",IF(P278&lt;0.15,"送料・手数料を見直す","継続観察"))))</x:f>
      </x:c>
    </x:row>
    <x:row r="279">
      <x:c r="A279" s="95"/>
      <x:c r="B279" s="95"/>
      <x:c r="C279" s="95"/>
      <x:c r="D279" s="95"/>
      <x:c r="E279" s="95"/>
      <x:c r="F279" s="96"/>
      <x:c r="G279" s="96"/>
      <x:c r="H279" s="95"/>
      <x:c r="I279" s="97"/>
      <x:c r="J279" s="97"/>
      <x:c r="K279" s="98"/>
      <x:c r="L279" s="97"/>
      <x:c r="M279" s="97"/>
      <x:c r="N279" s="99" t="str">
        <x:f>IF(OR(I279="",K279=""),"",I279*K279)</x:f>
      </x:c>
      <x:c r="O279" s="99" t="str">
        <x:f>IF(OR(I279="",J279="",N279="",L279="",M279=""),"",I279-J279-N279-L279-M279)</x:f>
      </x:c>
      <x:c r="P279" s="100" t="str">
        <x:f>IFERROR(O279/I279,"")</x:f>
      </x:c>
      <x:c r="Q279" s="99" t="str">
        <x:f>IF(OR(H279="",I279=""),"",H279*I279)</x:f>
      </x:c>
      <x:c r="R279" s="99" t="str">
        <x:f>IF(OR(H279="",O279=""),"",H279*O279)</x:f>
      </x:c>
      <x:c r="S279" s="99" t="str">
        <x:f>IF(G279="","",$B$2-G279)</x:f>
      </x:c>
      <x:c r="T279" s="99" t="str">
        <x:f>IF(S279="","",IF(S279&gt;=90,"90日以上",IF(S279&gt;=60,"60-89日","59日以下")))</x:f>
      </x:c>
      <x:c r="U279" s="99" t="str">
        <x:f>IF(O279="","",IF(O279&lt;0,"赤字",IF(AND(S279&gt;=90,H279&lt;=2),"要見直し",IF(P279&lt;0.15,"低利益","通常"))))</x:f>
      </x:c>
      <x:c r="V279" s="99" t="str">
        <x:f>IF(U279="","",IF(U279="赤字",100,0)+IF(S279&gt;=90,50,0)+IF(P279&lt;0.15,30,0)+IF(E279&gt;=15,10,0))</x:f>
      </x:c>
      <x:c r="W279" s="101" t="str">
        <x:f>IF(U279="","",IF(U279="赤字","価格・原価・送料を再確認",IF(AND(S279&gt;=90,H279&lt;=2),"値下げ・再出品・仕入停止を検討",IF(P279&lt;0.15,"送料・手数料を見直す","継続観察"))))</x:f>
      </x:c>
    </x:row>
    <x:row r="280">
      <x:c r="A280" s="95"/>
      <x:c r="B280" s="95"/>
      <x:c r="C280" s="95"/>
      <x:c r="D280" s="95"/>
      <x:c r="E280" s="95"/>
      <x:c r="F280" s="96"/>
      <x:c r="G280" s="96"/>
      <x:c r="H280" s="95"/>
      <x:c r="I280" s="97"/>
      <x:c r="J280" s="97"/>
      <x:c r="K280" s="98"/>
      <x:c r="L280" s="97"/>
      <x:c r="M280" s="97"/>
      <x:c r="N280" s="99" t="str">
        <x:f>IF(OR(I280="",K280=""),"",I280*K280)</x:f>
      </x:c>
      <x:c r="O280" s="99" t="str">
        <x:f>IF(OR(I280="",J280="",N280="",L280="",M280=""),"",I280-J280-N280-L280-M280)</x:f>
      </x:c>
      <x:c r="P280" s="100" t="str">
        <x:f>IFERROR(O280/I280,"")</x:f>
      </x:c>
      <x:c r="Q280" s="99" t="str">
        <x:f>IF(OR(H280="",I280=""),"",H280*I280)</x:f>
      </x:c>
      <x:c r="R280" s="99" t="str">
        <x:f>IF(OR(H280="",O280=""),"",H280*O280)</x:f>
      </x:c>
      <x:c r="S280" s="99" t="str">
        <x:f>IF(G280="","",$B$2-G280)</x:f>
      </x:c>
      <x:c r="T280" s="99" t="str">
        <x:f>IF(S280="","",IF(S280&gt;=90,"90日以上",IF(S280&gt;=60,"60-89日","59日以下")))</x:f>
      </x:c>
      <x:c r="U280" s="99" t="str">
        <x:f>IF(O280="","",IF(O280&lt;0,"赤字",IF(AND(S280&gt;=90,H280&lt;=2),"要見直し",IF(P280&lt;0.15,"低利益","通常"))))</x:f>
      </x:c>
      <x:c r="V280" s="99" t="str">
        <x:f>IF(U280="","",IF(U280="赤字",100,0)+IF(S280&gt;=90,50,0)+IF(P280&lt;0.15,30,0)+IF(E280&gt;=15,10,0))</x:f>
      </x:c>
      <x:c r="W280" s="101" t="str">
        <x:f>IF(U280="","",IF(U280="赤字","価格・原価・送料を再確認",IF(AND(S280&gt;=90,H280&lt;=2),"値下げ・再出品・仕入停止を検討",IF(P280&lt;0.15,"送料・手数料を見直す","継続観察"))))</x:f>
      </x:c>
    </x:row>
    <x:row r="281">
      <x:c r="A281" s="95"/>
      <x:c r="B281" s="95"/>
      <x:c r="C281" s="95"/>
      <x:c r="D281" s="95"/>
      <x:c r="E281" s="95"/>
      <x:c r="F281" s="96"/>
      <x:c r="G281" s="96"/>
      <x:c r="H281" s="95"/>
      <x:c r="I281" s="97"/>
      <x:c r="J281" s="97"/>
      <x:c r="K281" s="98"/>
      <x:c r="L281" s="97"/>
      <x:c r="M281" s="97"/>
      <x:c r="N281" s="99" t="str">
        <x:f>IF(OR(I281="",K281=""),"",I281*K281)</x:f>
      </x:c>
      <x:c r="O281" s="99" t="str">
        <x:f>IF(OR(I281="",J281="",N281="",L281="",M281=""),"",I281-J281-N281-L281-M281)</x:f>
      </x:c>
      <x:c r="P281" s="100" t="str">
        <x:f>IFERROR(O281/I281,"")</x:f>
      </x:c>
      <x:c r="Q281" s="99" t="str">
        <x:f>IF(OR(H281="",I281=""),"",H281*I281)</x:f>
      </x:c>
      <x:c r="R281" s="99" t="str">
        <x:f>IF(OR(H281="",O281=""),"",H281*O281)</x:f>
      </x:c>
      <x:c r="S281" s="99" t="str">
        <x:f>IF(G281="","",$B$2-G281)</x:f>
      </x:c>
      <x:c r="T281" s="99" t="str">
        <x:f>IF(S281="","",IF(S281&gt;=90,"90日以上",IF(S281&gt;=60,"60-89日","59日以下")))</x:f>
      </x:c>
      <x:c r="U281" s="99" t="str">
        <x:f>IF(O281="","",IF(O281&lt;0,"赤字",IF(AND(S281&gt;=90,H281&lt;=2),"要見直し",IF(P281&lt;0.15,"低利益","通常"))))</x:f>
      </x:c>
      <x:c r="V281" s="99" t="str">
        <x:f>IF(U281="","",IF(U281="赤字",100,0)+IF(S281&gt;=90,50,0)+IF(P281&lt;0.15,30,0)+IF(E281&gt;=15,10,0))</x:f>
      </x:c>
      <x:c r="W281" s="101" t="str">
        <x:f>IF(U281="","",IF(U281="赤字","価格・原価・送料を再確認",IF(AND(S281&gt;=90,H281&lt;=2),"値下げ・再出品・仕入停止を検討",IF(P281&lt;0.15,"送料・手数料を見直す","継続観察"))))</x:f>
      </x:c>
    </x:row>
    <x:row r="282">
      <x:c r="A282" s="95"/>
      <x:c r="B282" s="95"/>
      <x:c r="C282" s="95"/>
      <x:c r="D282" s="95"/>
      <x:c r="E282" s="95"/>
      <x:c r="F282" s="96"/>
      <x:c r="G282" s="96"/>
      <x:c r="H282" s="95"/>
      <x:c r="I282" s="97"/>
      <x:c r="J282" s="97"/>
      <x:c r="K282" s="98"/>
      <x:c r="L282" s="97"/>
      <x:c r="M282" s="97"/>
      <x:c r="N282" s="99" t="str">
        <x:f>IF(OR(I282="",K282=""),"",I282*K282)</x:f>
      </x:c>
      <x:c r="O282" s="99" t="str">
        <x:f>IF(OR(I282="",J282="",N282="",L282="",M282=""),"",I282-J282-N282-L282-M282)</x:f>
      </x:c>
      <x:c r="P282" s="100" t="str">
        <x:f>IFERROR(O282/I282,"")</x:f>
      </x:c>
      <x:c r="Q282" s="99" t="str">
        <x:f>IF(OR(H282="",I282=""),"",H282*I282)</x:f>
      </x:c>
      <x:c r="R282" s="99" t="str">
        <x:f>IF(OR(H282="",O282=""),"",H282*O282)</x:f>
      </x:c>
      <x:c r="S282" s="99" t="str">
        <x:f>IF(G282="","",$B$2-G282)</x:f>
      </x:c>
      <x:c r="T282" s="99" t="str">
        <x:f>IF(S282="","",IF(S282&gt;=90,"90日以上",IF(S282&gt;=60,"60-89日","59日以下")))</x:f>
      </x:c>
      <x:c r="U282" s="99" t="str">
        <x:f>IF(O282="","",IF(O282&lt;0,"赤字",IF(AND(S282&gt;=90,H282&lt;=2),"要見直し",IF(P282&lt;0.15,"低利益","通常"))))</x:f>
      </x:c>
      <x:c r="V282" s="99" t="str">
        <x:f>IF(U282="","",IF(U282="赤字",100,0)+IF(S282&gt;=90,50,0)+IF(P282&lt;0.15,30,0)+IF(E282&gt;=15,10,0))</x:f>
      </x:c>
      <x:c r="W282" s="101" t="str">
        <x:f>IF(U282="","",IF(U282="赤字","価格・原価・送料を再確認",IF(AND(S282&gt;=90,H282&lt;=2),"値下げ・再出品・仕入停止を検討",IF(P282&lt;0.15,"送料・手数料を見直す","継続観察"))))</x:f>
      </x:c>
    </x:row>
    <x:row r="283">
      <x:c r="A283" s="95"/>
      <x:c r="B283" s="95"/>
      <x:c r="C283" s="95"/>
      <x:c r="D283" s="95"/>
      <x:c r="E283" s="95"/>
      <x:c r="F283" s="96"/>
      <x:c r="G283" s="96"/>
      <x:c r="H283" s="95"/>
      <x:c r="I283" s="97"/>
      <x:c r="J283" s="97"/>
      <x:c r="K283" s="98"/>
      <x:c r="L283" s="97"/>
      <x:c r="M283" s="97"/>
      <x:c r="N283" s="99" t="str">
        <x:f>IF(OR(I283="",K283=""),"",I283*K283)</x:f>
      </x:c>
      <x:c r="O283" s="99" t="str">
        <x:f>IF(OR(I283="",J283="",N283="",L283="",M283=""),"",I283-J283-N283-L283-M283)</x:f>
      </x:c>
      <x:c r="P283" s="100" t="str">
        <x:f>IFERROR(O283/I283,"")</x:f>
      </x:c>
      <x:c r="Q283" s="99" t="str">
        <x:f>IF(OR(H283="",I283=""),"",H283*I283)</x:f>
      </x:c>
      <x:c r="R283" s="99" t="str">
        <x:f>IF(OR(H283="",O283=""),"",H283*O283)</x:f>
      </x:c>
      <x:c r="S283" s="99" t="str">
        <x:f>IF(G283="","",$B$2-G283)</x:f>
      </x:c>
      <x:c r="T283" s="99" t="str">
        <x:f>IF(S283="","",IF(S283&gt;=90,"90日以上",IF(S283&gt;=60,"60-89日","59日以下")))</x:f>
      </x:c>
      <x:c r="U283" s="99" t="str">
        <x:f>IF(O283="","",IF(O283&lt;0,"赤字",IF(AND(S283&gt;=90,H283&lt;=2),"要見直し",IF(P283&lt;0.15,"低利益","通常"))))</x:f>
      </x:c>
      <x:c r="V283" s="99" t="str">
        <x:f>IF(U283="","",IF(U283="赤字",100,0)+IF(S283&gt;=90,50,0)+IF(P283&lt;0.15,30,0)+IF(E283&gt;=15,10,0))</x:f>
      </x:c>
      <x:c r="W283" s="101" t="str">
        <x:f>IF(U283="","",IF(U283="赤字","価格・原価・送料を再確認",IF(AND(S283&gt;=90,H283&lt;=2),"値下げ・再出品・仕入停止を検討",IF(P283&lt;0.15,"送料・手数料を見直す","継続観察"))))</x:f>
      </x:c>
    </x:row>
    <x:row r="284">
      <x:c r="A284" s="95"/>
      <x:c r="B284" s="95"/>
      <x:c r="C284" s="95"/>
      <x:c r="D284" s="95"/>
      <x:c r="E284" s="95"/>
      <x:c r="F284" s="96"/>
      <x:c r="G284" s="96"/>
      <x:c r="H284" s="95"/>
      <x:c r="I284" s="97"/>
      <x:c r="J284" s="97"/>
      <x:c r="K284" s="98"/>
      <x:c r="L284" s="97"/>
      <x:c r="M284" s="97"/>
      <x:c r="N284" s="99" t="str">
        <x:f>IF(OR(I284="",K284=""),"",I284*K284)</x:f>
      </x:c>
      <x:c r="O284" s="99" t="str">
        <x:f>IF(OR(I284="",J284="",N284="",L284="",M284=""),"",I284-J284-N284-L284-M284)</x:f>
      </x:c>
      <x:c r="P284" s="100" t="str">
        <x:f>IFERROR(O284/I284,"")</x:f>
      </x:c>
      <x:c r="Q284" s="99" t="str">
        <x:f>IF(OR(H284="",I284=""),"",H284*I284)</x:f>
      </x:c>
      <x:c r="R284" s="99" t="str">
        <x:f>IF(OR(H284="",O284=""),"",H284*O284)</x:f>
      </x:c>
      <x:c r="S284" s="99" t="str">
        <x:f>IF(G284="","",$B$2-G284)</x:f>
      </x:c>
      <x:c r="T284" s="99" t="str">
        <x:f>IF(S284="","",IF(S284&gt;=90,"90日以上",IF(S284&gt;=60,"60-89日","59日以下")))</x:f>
      </x:c>
      <x:c r="U284" s="99" t="str">
        <x:f>IF(O284="","",IF(O284&lt;0,"赤字",IF(AND(S284&gt;=90,H284&lt;=2),"要見直し",IF(P284&lt;0.15,"低利益","通常"))))</x:f>
      </x:c>
      <x:c r="V284" s="99" t="str">
        <x:f>IF(U284="","",IF(U284="赤字",100,0)+IF(S284&gt;=90,50,0)+IF(P284&lt;0.15,30,0)+IF(E284&gt;=15,10,0))</x:f>
      </x:c>
      <x:c r="W284" s="101" t="str">
        <x:f>IF(U284="","",IF(U284="赤字","価格・原価・送料を再確認",IF(AND(S284&gt;=90,H284&lt;=2),"値下げ・再出品・仕入停止を検討",IF(P284&lt;0.15,"送料・手数料を見直す","継続観察"))))</x:f>
      </x:c>
    </x:row>
    <x:row r="285">
      <x:c r="A285" s="95"/>
      <x:c r="B285" s="95"/>
      <x:c r="C285" s="95"/>
      <x:c r="D285" s="95"/>
      <x:c r="E285" s="95"/>
      <x:c r="F285" s="96"/>
      <x:c r="G285" s="96"/>
      <x:c r="H285" s="95"/>
      <x:c r="I285" s="97"/>
      <x:c r="J285" s="97"/>
      <x:c r="K285" s="98"/>
      <x:c r="L285" s="97"/>
      <x:c r="M285" s="97"/>
      <x:c r="N285" s="99" t="str">
        <x:f>IF(OR(I285="",K285=""),"",I285*K285)</x:f>
      </x:c>
      <x:c r="O285" s="99" t="str">
        <x:f>IF(OR(I285="",J285="",N285="",L285="",M285=""),"",I285-J285-N285-L285-M285)</x:f>
      </x:c>
      <x:c r="P285" s="100" t="str">
        <x:f>IFERROR(O285/I285,"")</x:f>
      </x:c>
      <x:c r="Q285" s="99" t="str">
        <x:f>IF(OR(H285="",I285=""),"",H285*I285)</x:f>
      </x:c>
      <x:c r="R285" s="99" t="str">
        <x:f>IF(OR(H285="",O285=""),"",H285*O285)</x:f>
      </x:c>
      <x:c r="S285" s="99" t="str">
        <x:f>IF(G285="","",$B$2-G285)</x:f>
      </x:c>
      <x:c r="T285" s="99" t="str">
        <x:f>IF(S285="","",IF(S285&gt;=90,"90日以上",IF(S285&gt;=60,"60-89日","59日以下")))</x:f>
      </x:c>
      <x:c r="U285" s="99" t="str">
        <x:f>IF(O285="","",IF(O285&lt;0,"赤字",IF(AND(S285&gt;=90,H285&lt;=2),"要見直し",IF(P285&lt;0.15,"低利益","通常"))))</x:f>
      </x:c>
      <x:c r="V285" s="99" t="str">
        <x:f>IF(U285="","",IF(U285="赤字",100,0)+IF(S285&gt;=90,50,0)+IF(P285&lt;0.15,30,0)+IF(E285&gt;=15,10,0))</x:f>
      </x:c>
      <x:c r="W285" s="101" t="str">
        <x:f>IF(U285="","",IF(U285="赤字","価格・原価・送料を再確認",IF(AND(S285&gt;=90,H285&lt;=2),"値下げ・再出品・仕入停止を検討",IF(P285&lt;0.15,"送料・手数料を見直す","継続観察"))))</x:f>
      </x:c>
    </x:row>
    <x:row r="286">
      <x:c r="A286" s="95"/>
      <x:c r="B286" s="95"/>
      <x:c r="C286" s="95"/>
      <x:c r="D286" s="95"/>
      <x:c r="E286" s="95"/>
      <x:c r="F286" s="96"/>
      <x:c r="G286" s="96"/>
      <x:c r="H286" s="95"/>
      <x:c r="I286" s="97"/>
      <x:c r="J286" s="97"/>
      <x:c r="K286" s="98"/>
      <x:c r="L286" s="97"/>
      <x:c r="M286" s="97"/>
      <x:c r="N286" s="99" t="str">
        <x:f>IF(OR(I286="",K286=""),"",I286*K286)</x:f>
      </x:c>
      <x:c r="O286" s="99" t="str">
        <x:f>IF(OR(I286="",J286="",N286="",L286="",M286=""),"",I286-J286-N286-L286-M286)</x:f>
      </x:c>
      <x:c r="P286" s="100" t="str">
        <x:f>IFERROR(O286/I286,"")</x:f>
      </x:c>
      <x:c r="Q286" s="99" t="str">
        <x:f>IF(OR(H286="",I286=""),"",H286*I286)</x:f>
      </x:c>
      <x:c r="R286" s="99" t="str">
        <x:f>IF(OR(H286="",O286=""),"",H286*O286)</x:f>
      </x:c>
      <x:c r="S286" s="99" t="str">
        <x:f>IF(G286="","",$B$2-G286)</x:f>
      </x:c>
      <x:c r="T286" s="99" t="str">
        <x:f>IF(S286="","",IF(S286&gt;=90,"90日以上",IF(S286&gt;=60,"60-89日","59日以下")))</x:f>
      </x:c>
      <x:c r="U286" s="99" t="str">
        <x:f>IF(O286="","",IF(O286&lt;0,"赤字",IF(AND(S286&gt;=90,H286&lt;=2),"要見直し",IF(P286&lt;0.15,"低利益","通常"))))</x:f>
      </x:c>
      <x:c r="V286" s="99" t="str">
        <x:f>IF(U286="","",IF(U286="赤字",100,0)+IF(S286&gt;=90,50,0)+IF(P286&lt;0.15,30,0)+IF(E286&gt;=15,10,0))</x:f>
      </x:c>
      <x:c r="W286" s="101" t="str">
        <x:f>IF(U286="","",IF(U286="赤字","価格・原価・送料を再確認",IF(AND(S286&gt;=90,H286&lt;=2),"値下げ・再出品・仕入停止を検討",IF(P286&lt;0.15,"送料・手数料を見直す","継続観察"))))</x:f>
      </x:c>
    </x:row>
    <x:row r="287">
      <x:c r="A287" s="95"/>
      <x:c r="B287" s="95"/>
      <x:c r="C287" s="95"/>
      <x:c r="D287" s="95"/>
      <x:c r="E287" s="95"/>
      <x:c r="F287" s="96"/>
      <x:c r="G287" s="96"/>
      <x:c r="H287" s="95"/>
      <x:c r="I287" s="97"/>
      <x:c r="J287" s="97"/>
      <x:c r="K287" s="98"/>
      <x:c r="L287" s="97"/>
      <x:c r="M287" s="97"/>
      <x:c r="N287" s="99" t="str">
        <x:f>IF(OR(I287="",K287=""),"",I287*K287)</x:f>
      </x:c>
      <x:c r="O287" s="99" t="str">
        <x:f>IF(OR(I287="",J287="",N287="",L287="",M287=""),"",I287-J287-N287-L287-M287)</x:f>
      </x:c>
      <x:c r="P287" s="100" t="str">
        <x:f>IFERROR(O287/I287,"")</x:f>
      </x:c>
      <x:c r="Q287" s="99" t="str">
        <x:f>IF(OR(H287="",I287=""),"",H287*I287)</x:f>
      </x:c>
      <x:c r="R287" s="99" t="str">
        <x:f>IF(OR(H287="",O287=""),"",H287*O287)</x:f>
      </x:c>
      <x:c r="S287" s="99" t="str">
        <x:f>IF(G287="","",$B$2-G287)</x:f>
      </x:c>
      <x:c r="T287" s="99" t="str">
        <x:f>IF(S287="","",IF(S287&gt;=90,"90日以上",IF(S287&gt;=60,"60-89日","59日以下")))</x:f>
      </x:c>
      <x:c r="U287" s="99" t="str">
        <x:f>IF(O287="","",IF(O287&lt;0,"赤字",IF(AND(S287&gt;=90,H287&lt;=2),"要見直し",IF(P287&lt;0.15,"低利益","通常"))))</x:f>
      </x:c>
      <x:c r="V287" s="99" t="str">
        <x:f>IF(U287="","",IF(U287="赤字",100,0)+IF(S287&gt;=90,50,0)+IF(P287&lt;0.15,30,0)+IF(E287&gt;=15,10,0))</x:f>
      </x:c>
      <x:c r="W287" s="101" t="str">
        <x:f>IF(U287="","",IF(U287="赤字","価格・原価・送料を再確認",IF(AND(S287&gt;=90,H287&lt;=2),"値下げ・再出品・仕入停止を検討",IF(P287&lt;0.15,"送料・手数料を見直す","継続観察"))))</x:f>
      </x:c>
    </x:row>
    <x:row r="288">
      <x:c r="A288" s="95"/>
      <x:c r="B288" s="95"/>
      <x:c r="C288" s="95"/>
      <x:c r="D288" s="95"/>
      <x:c r="E288" s="95"/>
      <x:c r="F288" s="96"/>
      <x:c r="G288" s="96"/>
      <x:c r="H288" s="95"/>
      <x:c r="I288" s="97"/>
      <x:c r="J288" s="97"/>
      <x:c r="K288" s="98"/>
      <x:c r="L288" s="97"/>
      <x:c r="M288" s="97"/>
      <x:c r="N288" s="99" t="str">
        <x:f>IF(OR(I288="",K288=""),"",I288*K288)</x:f>
      </x:c>
      <x:c r="O288" s="99" t="str">
        <x:f>IF(OR(I288="",J288="",N288="",L288="",M288=""),"",I288-J288-N288-L288-M288)</x:f>
      </x:c>
      <x:c r="P288" s="100" t="str">
        <x:f>IFERROR(O288/I288,"")</x:f>
      </x:c>
      <x:c r="Q288" s="99" t="str">
        <x:f>IF(OR(H288="",I288=""),"",H288*I288)</x:f>
      </x:c>
      <x:c r="R288" s="99" t="str">
        <x:f>IF(OR(H288="",O288=""),"",H288*O288)</x:f>
      </x:c>
      <x:c r="S288" s="99" t="str">
        <x:f>IF(G288="","",$B$2-G288)</x:f>
      </x:c>
      <x:c r="T288" s="99" t="str">
        <x:f>IF(S288="","",IF(S288&gt;=90,"90日以上",IF(S288&gt;=60,"60-89日","59日以下")))</x:f>
      </x:c>
      <x:c r="U288" s="99" t="str">
        <x:f>IF(O288="","",IF(O288&lt;0,"赤字",IF(AND(S288&gt;=90,H288&lt;=2),"要見直し",IF(P288&lt;0.15,"低利益","通常"))))</x:f>
      </x:c>
      <x:c r="V288" s="99" t="str">
        <x:f>IF(U288="","",IF(U288="赤字",100,0)+IF(S288&gt;=90,50,0)+IF(P288&lt;0.15,30,0)+IF(E288&gt;=15,10,0))</x:f>
      </x:c>
      <x:c r="W288" s="101" t="str">
        <x:f>IF(U288="","",IF(U288="赤字","価格・原価・送料を再確認",IF(AND(S288&gt;=90,H288&lt;=2),"値下げ・再出品・仕入停止を検討",IF(P288&lt;0.15,"送料・手数料を見直す","継続観察"))))</x:f>
      </x:c>
    </x:row>
    <x:row r="289">
      <x:c r="A289" s="95"/>
      <x:c r="B289" s="95"/>
      <x:c r="C289" s="95"/>
      <x:c r="D289" s="95"/>
      <x:c r="E289" s="95"/>
      <x:c r="F289" s="96"/>
      <x:c r="G289" s="96"/>
      <x:c r="H289" s="95"/>
      <x:c r="I289" s="97"/>
      <x:c r="J289" s="97"/>
      <x:c r="K289" s="98"/>
      <x:c r="L289" s="97"/>
      <x:c r="M289" s="97"/>
      <x:c r="N289" s="99" t="str">
        <x:f>IF(OR(I289="",K289=""),"",I289*K289)</x:f>
      </x:c>
      <x:c r="O289" s="99" t="str">
        <x:f>IF(OR(I289="",J289="",N289="",L289="",M289=""),"",I289-J289-N289-L289-M289)</x:f>
      </x:c>
      <x:c r="P289" s="100" t="str">
        <x:f>IFERROR(O289/I289,"")</x:f>
      </x:c>
      <x:c r="Q289" s="99" t="str">
        <x:f>IF(OR(H289="",I289=""),"",H289*I289)</x:f>
      </x:c>
      <x:c r="R289" s="99" t="str">
        <x:f>IF(OR(H289="",O289=""),"",H289*O289)</x:f>
      </x:c>
      <x:c r="S289" s="99" t="str">
        <x:f>IF(G289="","",$B$2-G289)</x:f>
      </x:c>
      <x:c r="T289" s="99" t="str">
        <x:f>IF(S289="","",IF(S289&gt;=90,"90日以上",IF(S289&gt;=60,"60-89日","59日以下")))</x:f>
      </x:c>
      <x:c r="U289" s="99" t="str">
        <x:f>IF(O289="","",IF(O289&lt;0,"赤字",IF(AND(S289&gt;=90,H289&lt;=2),"要見直し",IF(P289&lt;0.15,"低利益","通常"))))</x:f>
      </x:c>
      <x:c r="V289" s="99" t="str">
        <x:f>IF(U289="","",IF(U289="赤字",100,0)+IF(S289&gt;=90,50,0)+IF(P289&lt;0.15,30,0)+IF(E289&gt;=15,10,0))</x:f>
      </x:c>
      <x:c r="W289" s="101" t="str">
        <x:f>IF(U289="","",IF(U289="赤字","価格・原価・送料を再確認",IF(AND(S289&gt;=90,H289&lt;=2),"値下げ・再出品・仕入停止を検討",IF(P289&lt;0.15,"送料・手数料を見直す","継続観察"))))</x:f>
      </x:c>
    </x:row>
    <x:row r="290">
      <x:c r="A290" s="95"/>
      <x:c r="B290" s="95"/>
      <x:c r="C290" s="95"/>
      <x:c r="D290" s="95"/>
      <x:c r="E290" s="95"/>
      <x:c r="F290" s="96"/>
      <x:c r="G290" s="96"/>
      <x:c r="H290" s="95"/>
      <x:c r="I290" s="97"/>
      <x:c r="J290" s="97"/>
      <x:c r="K290" s="98"/>
      <x:c r="L290" s="97"/>
      <x:c r="M290" s="97"/>
      <x:c r="N290" s="99" t="str">
        <x:f>IF(OR(I290="",K290=""),"",I290*K290)</x:f>
      </x:c>
      <x:c r="O290" s="99" t="str">
        <x:f>IF(OR(I290="",J290="",N290="",L290="",M290=""),"",I290-J290-N290-L290-M290)</x:f>
      </x:c>
      <x:c r="P290" s="100" t="str">
        <x:f>IFERROR(O290/I290,"")</x:f>
      </x:c>
      <x:c r="Q290" s="99" t="str">
        <x:f>IF(OR(H290="",I290=""),"",H290*I290)</x:f>
      </x:c>
      <x:c r="R290" s="99" t="str">
        <x:f>IF(OR(H290="",O290=""),"",H290*O290)</x:f>
      </x:c>
      <x:c r="S290" s="99" t="str">
        <x:f>IF(G290="","",$B$2-G290)</x:f>
      </x:c>
      <x:c r="T290" s="99" t="str">
        <x:f>IF(S290="","",IF(S290&gt;=90,"90日以上",IF(S290&gt;=60,"60-89日","59日以下")))</x:f>
      </x:c>
      <x:c r="U290" s="99" t="str">
        <x:f>IF(O290="","",IF(O290&lt;0,"赤字",IF(AND(S290&gt;=90,H290&lt;=2),"要見直し",IF(P290&lt;0.15,"低利益","通常"))))</x:f>
      </x:c>
      <x:c r="V290" s="99" t="str">
        <x:f>IF(U290="","",IF(U290="赤字",100,0)+IF(S290&gt;=90,50,0)+IF(P290&lt;0.15,30,0)+IF(E290&gt;=15,10,0))</x:f>
      </x:c>
      <x:c r="W290" s="101" t="str">
        <x:f>IF(U290="","",IF(U290="赤字","価格・原価・送料を再確認",IF(AND(S290&gt;=90,H290&lt;=2),"値下げ・再出品・仕入停止を検討",IF(P290&lt;0.15,"送料・手数料を見直す","継続観察"))))</x:f>
      </x:c>
    </x:row>
    <x:row r="291">
      <x:c r="A291" s="95"/>
      <x:c r="B291" s="95"/>
      <x:c r="C291" s="95"/>
      <x:c r="D291" s="95"/>
      <x:c r="E291" s="95"/>
      <x:c r="F291" s="96"/>
      <x:c r="G291" s="96"/>
      <x:c r="H291" s="95"/>
      <x:c r="I291" s="97"/>
      <x:c r="J291" s="97"/>
      <x:c r="K291" s="98"/>
      <x:c r="L291" s="97"/>
      <x:c r="M291" s="97"/>
      <x:c r="N291" s="99" t="str">
        <x:f>IF(OR(I291="",K291=""),"",I291*K291)</x:f>
      </x:c>
      <x:c r="O291" s="99" t="str">
        <x:f>IF(OR(I291="",J291="",N291="",L291="",M291=""),"",I291-J291-N291-L291-M291)</x:f>
      </x:c>
      <x:c r="P291" s="100" t="str">
        <x:f>IFERROR(O291/I291,"")</x:f>
      </x:c>
      <x:c r="Q291" s="99" t="str">
        <x:f>IF(OR(H291="",I291=""),"",H291*I291)</x:f>
      </x:c>
      <x:c r="R291" s="99" t="str">
        <x:f>IF(OR(H291="",O291=""),"",H291*O291)</x:f>
      </x:c>
      <x:c r="S291" s="99" t="str">
        <x:f>IF(G291="","",$B$2-G291)</x:f>
      </x:c>
      <x:c r="T291" s="99" t="str">
        <x:f>IF(S291="","",IF(S291&gt;=90,"90日以上",IF(S291&gt;=60,"60-89日","59日以下")))</x:f>
      </x:c>
      <x:c r="U291" s="99" t="str">
        <x:f>IF(O291="","",IF(O291&lt;0,"赤字",IF(AND(S291&gt;=90,H291&lt;=2),"要見直し",IF(P291&lt;0.15,"低利益","通常"))))</x:f>
      </x:c>
      <x:c r="V291" s="99" t="str">
        <x:f>IF(U291="","",IF(U291="赤字",100,0)+IF(S291&gt;=90,50,0)+IF(P291&lt;0.15,30,0)+IF(E291&gt;=15,10,0))</x:f>
      </x:c>
      <x:c r="W291" s="101" t="str">
        <x:f>IF(U291="","",IF(U291="赤字","価格・原価・送料を再確認",IF(AND(S291&gt;=90,H291&lt;=2),"値下げ・再出品・仕入停止を検討",IF(P291&lt;0.15,"送料・手数料を見直す","継続観察"))))</x:f>
      </x:c>
    </x:row>
    <x:row r="292">
      <x:c r="A292" s="95"/>
      <x:c r="B292" s="95"/>
      <x:c r="C292" s="95"/>
      <x:c r="D292" s="95"/>
      <x:c r="E292" s="95"/>
      <x:c r="F292" s="96"/>
      <x:c r="G292" s="96"/>
      <x:c r="H292" s="95"/>
      <x:c r="I292" s="97"/>
      <x:c r="J292" s="97"/>
      <x:c r="K292" s="98"/>
      <x:c r="L292" s="97"/>
      <x:c r="M292" s="97"/>
      <x:c r="N292" s="99" t="str">
        <x:f>IF(OR(I292="",K292=""),"",I292*K292)</x:f>
      </x:c>
      <x:c r="O292" s="99" t="str">
        <x:f>IF(OR(I292="",J292="",N292="",L292="",M292=""),"",I292-J292-N292-L292-M292)</x:f>
      </x:c>
      <x:c r="P292" s="100" t="str">
        <x:f>IFERROR(O292/I292,"")</x:f>
      </x:c>
      <x:c r="Q292" s="99" t="str">
        <x:f>IF(OR(H292="",I292=""),"",H292*I292)</x:f>
      </x:c>
      <x:c r="R292" s="99" t="str">
        <x:f>IF(OR(H292="",O292=""),"",H292*O292)</x:f>
      </x:c>
      <x:c r="S292" s="99" t="str">
        <x:f>IF(G292="","",$B$2-G292)</x:f>
      </x:c>
      <x:c r="T292" s="99" t="str">
        <x:f>IF(S292="","",IF(S292&gt;=90,"90日以上",IF(S292&gt;=60,"60-89日","59日以下")))</x:f>
      </x:c>
      <x:c r="U292" s="99" t="str">
        <x:f>IF(O292="","",IF(O292&lt;0,"赤字",IF(AND(S292&gt;=90,H292&lt;=2),"要見直し",IF(P292&lt;0.15,"低利益","通常"))))</x:f>
      </x:c>
      <x:c r="V292" s="99" t="str">
        <x:f>IF(U292="","",IF(U292="赤字",100,0)+IF(S292&gt;=90,50,0)+IF(P292&lt;0.15,30,0)+IF(E292&gt;=15,10,0))</x:f>
      </x:c>
      <x:c r="W292" s="101" t="str">
        <x:f>IF(U292="","",IF(U292="赤字","価格・原価・送料を再確認",IF(AND(S292&gt;=90,H292&lt;=2),"値下げ・再出品・仕入停止を検討",IF(P292&lt;0.15,"送料・手数料を見直す","継続観察"))))</x:f>
      </x:c>
    </x:row>
    <x:row r="293">
      <x:c r="A293" s="95"/>
      <x:c r="B293" s="95"/>
      <x:c r="C293" s="95"/>
      <x:c r="D293" s="95"/>
      <x:c r="E293" s="95"/>
      <x:c r="F293" s="96"/>
      <x:c r="G293" s="96"/>
      <x:c r="H293" s="95"/>
      <x:c r="I293" s="97"/>
      <x:c r="J293" s="97"/>
      <x:c r="K293" s="98"/>
      <x:c r="L293" s="97"/>
      <x:c r="M293" s="97"/>
      <x:c r="N293" s="99" t="str">
        <x:f>IF(OR(I293="",K293=""),"",I293*K293)</x:f>
      </x:c>
      <x:c r="O293" s="99" t="str">
        <x:f>IF(OR(I293="",J293="",N293="",L293="",M293=""),"",I293-J293-N293-L293-M293)</x:f>
      </x:c>
      <x:c r="P293" s="100" t="str">
        <x:f>IFERROR(O293/I293,"")</x:f>
      </x:c>
      <x:c r="Q293" s="99" t="str">
        <x:f>IF(OR(H293="",I293=""),"",H293*I293)</x:f>
      </x:c>
      <x:c r="R293" s="99" t="str">
        <x:f>IF(OR(H293="",O293=""),"",H293*O293)</x:f>
      </x:c>
      <x:c r="S293" s="99" t="str">
        <x:f>IF(G293="","",$B$2-G293)</x:f>
      </x:c>
      <x:c r="T293" s="99" t="str">
        <x:f>IF(S293="","",IF(S293&gt;=90,"90日以上",IF(S293&gt;=60,"60-89日","59日以下")))</x:f>
      </x:c>
      <x:c r="U293" s="99" t="str">
        <x:f>IF(O293="","",IF(O293&lt;0,"赤字",IF(AND(S293&gt;=90,H293&lt;=2),"要見直し",IF(P293&lt;0.15,"低利益","通常"))))</x:f>
      </x:c>
      <x:c r="V293" s="99" t="str">
        <x:f>IF(U293="","",IF(U293="赤字",100,0)+IF(S293&gt;=90,50,0)+IF(P293&lt;0.15,30,0)+IF(E293&gt;=15,10,0))</x:f>
      </x:c>
      <x:c r="W293" s="101" t="str">
        <x:f>IF(U293="","",IF(U293="赤字","価格・原価・送料を再確認",IF(AND(S293&gt;=90,H293&lt;=2),"値下げ・再出品・仕入停止を検討",IF(P293&lt;0.15,"送料・手数料を見直す","継続観察"))))</x:f>
      </x:c>
    </x:row>
    <x:row r="294">
      <x:c r="A294" s="95"/>
      <x:c r="B294" s="95"/>
      <x:c r="C294" s="95"/>
      <x:c r="D294" s="95"/>
      <x:c r="E294" s="95"/>
      <x:c r="F294" s="96"/>
      <x:c r="G294" s="96"/>
      <x:c r="H294" s="95"/>
      <x:c r="I294" s="97"/>
      <x:c r="J294" s="97"/>
      <x:c r="K294" s="98"/>
      <x:c r="L294" s="97"/>
      <x:c r="M294" s="97"/>
      <x:c r="N294" s="99" t="str">
        <x:f>IF(OR(I294="",K294=""),"",I294*K294)</x:f>
      </x:c>
      <x:c r="O294" s="99" t="str">
        <x:f>IF(OR(I294="",J294="",N294="",L294="",M294=""),"",I294-J294-N294-L294-M294)</x:f>
      </x:c>
      <x:c r="P294" s="100" t="str">
        <x:f>IFERROR(O294/I294,"")</x:f>
      </x:c>
      <x:c r="Q294" s="99" t="str">
        <x:f>IF(OR(H294="",I294=""),"",H294*I294)</x:f>
      </x:c>
      <x:c r="R294" s="99" t="str">
        <x:f>IF(OR(H294="",O294=""),"",H294*O294)</x:f>
      </x:c>
      <x:c r="S294" s="99" t="str">
        <x:f>IF(G294="","",$B$2-G294)</x:f>
      </x:c>
      <x:c r="T294" s="99" t="str">
        <x:f>IF(S294="","",IF(S294&gt;=90,"90日以上",IF(S294&gt;=60,"60-89日","59日以下")))</x:f>
      </x:c>
      <x:c r="U294" s="99" t="str">
        <x:f>IF(O294="","",IF(O294&lt;0,"赤字",IF(AND(S294&gt;=90,H294&lt;=2),"要見直し",IF(P294&lt;0.15,"低利益","通常"))))</x:f>
      </x:c>
      <x:c r="V294" s="99" t="str">
        <x:f>IF(U294="","",IF(U294="赤字",100,0)+IF(S294&gt;=90,50,0)+IF(P294&lt;0.15,30,0)+IF(E294&gt;=15,10,0))</x:f>
      </x:c>
      <x:c r="W294" s="101" t="str">
        <x:f>IF(U294="","",IF(U294="赤字","価格・原価・送料を再確認",IF(AND(S294&gt;=90,H294&lt;=2),"値下げ・再出品・仕入停止を検討",IF(P294&lt;0.15,"送料・手数料を見直す","継続観察"))))</x:f>
      </x:c>
    </x:row>
    <x:row r="295">
      <x:c r="A295" s="95"/>
      <x:c r="B295" s="95"/>
      <x:c r="C295" s="95"/>
      <x:c r="D295" s="95"/>
      <x:c r="E295" s="95"/>
      <x:c r="F295" s="96"/>
      <x:c r="G295" s="96"/>
      <x:c r="H295" s="95"/>
      <x:c r="I295" s="97"/>
      <x:c r="J295" s="97"/>
      <x:c r="K295" s="98"/>
      <x:c r="L295" s="97"/>
      <x:c r="M295" s="97"/>
      <x:c r="N295" s="99" t="str">
        <x:f>IF(OR(I295="",K295=""),"",I295*K295)</x:f>
      </x:c>
      <x:c r="O295" s="99" t="str">
        <x:f>IF(OR(I295="",J295="",N295="",L295="",M295=""),"",I295-J295-N295-L295-M295)</x:f>
      </x:c>
      <x:c r="P295" s="100" t="str">
        <x:f>IFERROR(O295/I295,"")</x:f>
      </x:c>
      <x:c r="Q295" s="99" t="str">
        <x:f>IF(OR(H295="",I295=""),"",H295*I295)</x:f>
      </x:c>
      <x:c r="R295" s="99" t="str">
        <x:f>IF(OR(H295="",O295=""),"",H295*O295)</x:f>
      </x:c>
      <x:c r="S295" s="99" t="str">
        <x:f>IF(G295="","",$B$2-G295)</x:f>
      </x:c>
      <x:c r="T295" s="99" t="str">
        <x:f>IF(S295="","",IF(S295&gt;=90,"90日以上",IF(S295&gt;=60,"60-89日","59日以下")))</x:f>
      </x:c>
      <x:c r="U295" s="99" t="str">
        <x:f>IF(O295="","",IF(O295&lt;0,"赤字",IF(AND(S295&gt;=90,H295&lt;=2),"要見直し",IF(P295&lt;0.15,"低利益","通常"))))</x:f>
      </x:c>
      <x:c r="V295" s="99" t="str">
        <x:f>IF(U295="","",IF(U295="赤字",100,0)+IF(S295&gt;=90,50,0)+IF(P295&lt;0.15,30,0)+IF(E295&gt;=15,10,0))</x:f>
      </x:c>
      <x:c r="W295" s="101" t="str">
        <x:f>IF(U295="","",IF(U295="赤字","価格・原価・送料を再確認",IF(AND(S295&gt;=90,H295&lt;=2),"値下げ・再出品・仕入停止を検討",IF(P295&lt;0.15,"送料・手数料を見直す","継続観察"))))</x:f>
      </x:c>
    </x:row>
    <x:row r="296">
      <x:c r="A296" s="95"/>
      <x:c r="B296" s="95"/>
      <x:c r="C296" s="95"/>
      <x:c r="D296" s="95"/>
      <x:c r="E296" s="95"/>
      <x:c r="F296" s="96"/>
      <x:c r="G296" s="96"/>
      <x:c r="H296" s="95"/>
      <x:c r="I296" s="97"/>
      <x:c r="J296" s="97"/>
      <x:c r="K296" s="98"/>
      <x:c r="L296" s="97"/>
      <x:c r="M296" s="97"/>
      <x:c r="N296" s="99" t="str">
        <x:f>IF(OR(I296="",K296=""),"",I296*K296)</x:f>
      </x:c>
      <x:c r="O296" s="99" t="str">
        <x:f>IF(OR(I296="",J296="",N296="",L296="",M296=""),"",I296-J296-N296-L296-M296)</x:f>
      </x:c>
      <x:c r="P296" s="100" t="str">
        <x:f>IFERROR(O296/I296,"")</x:f>
      </x:c>
      <x:c r="Q296" s="99" t="str">
        <x:f>IF(OR(H296="",I296=""),"",H296*I296)</x:f>
      </x:c>
      <x:c r="R296" s="99" t="str">
        <x:f>IF(OR(H296="",O296=""),"",H296*O296)</x:f>
      </x:c>
      <x:c r="S296" s="99" t="str">
        <x:f>IF(G296="","",$B$2-G296)</x:f>
      </x:c>
      <x:c r="T296" s="99" t="str">
        <x:f>IF(S296="","",IF(S296&gt;=90,"90日以上",IF(S296&gt;=60,"60-89日","59日以下")))</x:f>
      </x:c>
      <x:c r="U296" s="99" t="str">
        <x:f>IF(O296="","",IF(O296&lt;0,"赤字",IF(AND(S296&gt;=90,H296&lt;=2),"要見直し",IF(P296&lt;0.15,"低利益","通常"))))</x:f>
      </x:c>
      <x:c r="V296" s="99" t="str">
        <x:f>IF(U296="","",IF(U296="赤字",100,0)+IF(S296&gt;=90,50,0)+IF(P296&lt;0.15,30,0)+IF(E296&gt;=15,10,0))</x:f>
      </x:c>
      <x:c r="W296" s="101" t="str">
        <x:f>IF(U296="","",IF(U296="赤字","価格・原価・送料を再確認",IF(AND(S296&gt;=90,H296&lt;=2),"値下げ・再出品・仕入停止を検討",IF(P296&lt;0.15,"送料・手数料を見直す","継続観察"))))</x:f>
      </x:c>
    </x:row>
    <x:row r="297">
      <x:c r="A297" s="95"/>
      <x:c r="B297" s="95"/>
      <x:c r="C297" s="95"/>
      <x:c r="D297" s="95"/>
      <x:c r="E297" s="95"/>
      <x:c r="F297" s="96"/>
      <x:c r="G297" s="96"/>
      <x:c r="H297" s="95"/>
      <x:c r="I297" s="97"/>
      <x:c r="J297" s="97"/>
      <x:c r="K297" s="98"/>
      <x:c r="L297" s="97"/>
      <x:c r="M297" s="97"/>
      <x:c r="N297" s="99" t="str">
        <x:f>IF(OR(I297="",K297=""),"",I297*K297)</x:f>
      </x:c>
      <x:c r="O297" s="99" t="str">
        <x:f>IF(OR(I297="",J297="",N297="",L297="",M297=""),"",I297-J297-N297-L297-M297)</x:f>
      </x:c>
      <x:c r="P297" s="100" t="str">
        <x:f>IFERROR(O297/I297,"")</x:f>
      </x:c>
      <x:c r="Q297" s="99" t="str">
        <x:f>IF(OR(H297="",I297=""),"",H297*I297)</x:f>
      </x:c>
      <x:c r="R297" s="99" t="str">
        <x:f>IF(OR(H297="",O297=""),"",H297*O297)</x:f>
      </x:c>
      <x:c r="S297" s="99" t="str">
        <x:f>IF(G297="","",$B$2-G297)</x:f>
      </x:c>
      <x:c r="T297" s="99" t="str">
        <x:f>IF(S297="","",IF(S297&gt;=90,"90日以上",IF(S297&gt;=60,"60-89日","59日以下")))</x:f>
      </x:c>
      <x:c r="U297" s="99" t="str">
        <x:f>IF(O297="","",IF(O297&lt;0,"赤字",IF(AND(S297&gt;=90,H297&lt;=2),"要見直し",IF(P297&lt;0.15,"低利益","通常"))))</x:f>
      </x:c>
      <x:c r="V297" s="99" t="str">
        <x:f>IF(U297="","",IF(U297="赤字",100,0)+IF(S297&gt;=90,50,0)+IF(P297&lt;0.15,30,0)+IF(E297&gt;=15,10,0))</x:f>
      </x:c>
      <x:c r="W297" s="101" t="str">
        <x:f>IF(U297="","",IF(U297="赤字","価格・原価・送料を再確認",IF(AND(S297&gt;=90,H297&lt;=2),"値下げ・再出品・仕入停止を検討",IF(P297&lt;0.15,"送料・手数料を見直す","継続観察"))))</x:f>
      </x:c>
    </x:row>
    <x:row r="298">
      <x:c r="A298" s="95"/>
      <x:c r="B298" s="95"/>
      <x:c r="C298" s="95"/>
      <x:c r="D298" s="95"/>
      <x:c r="E298" s="95"/>
      <x:c r="F298" s="96"/>
      <x:c r="G298" s="96"/>
      <x:c r="H298" s="95"/>
      <x:c r="I298" s="97"/>
      <x:c r="J298" s="97"/>
      <x:c r="K298" s="98"/>
      <x:c r="L298" s="97"/>
      <x:c r="M298" s="97"/>
      <x:c r="N298" s="99" t="str">
        <x:f>IF(OR(I298="",K298=""),"",I298*K298)</x:f>
      </x:c>
      <x:c r="O298" s="99" t="str">
        <x:f>IF(OR(I298="",J298="",N298="",L298="",M298=""),"",I298-J298-N298-L298-M298)</x:f>
      </x:c>
      <x:c r="P298" s="100" t="str">
        <x:f>IFERROR(O298/I298,"")</x:f>
      </x:c>
      <x:c r="Q298" s="99" t="str">
        <x:f>IF(OR(H298="",I298=""),"",H298*I298)</x:f>
      </x:c>
      <x:c r="R298" s="99" t="str">
        <x:f>IF(OR(H298="",O298=""),"",H298*O298)</x:f>
      </x:c>
      <x:c r="S298" s="99" t="str">
        <x:f>IF(G298="","",$B$2-G298)</x:f>
      </x:c>
      <x:c r="T298" s="99" t="str">
        <x:f>IF(S298="","",IF(S298&gt;=90,"90日以上",IF(S298&gt;=60,"60-89日","59日以下")))</x:f>
      </x:c>
      <x:c r="U298" s="99" t="str">
        <x:f>IF(O298="","",IF(O298&lt;0,"赤字",IF(AND(S298&gt;=90,H298&lt;=2),"要見直し",IF(P298&lt;0.15,"低利益","通常"))))</x:f>
      </x:c>
      <x:c r="V298" s="99" t="str">
        <x:f>IF(U298="","",IF(U298="赤字",100,0)+IF(S298&gt;=90,50,0)+IF(P298&lt;0.15,30,0)+IF(E298&gt;=15,10,0))</x:f>
      </x:c>
      <x:c r="W298" s="101" t="str">
        <x:f>IF(U298="","",IF(U298="赤字","価格・原価・送料を再確認",IF(AND(S298&gt;=90,H298&lt;=2),"値下げ・再出品・仕入停止を検討",IF(P298&lt;0.15,"送料・手数料を見直す","継続観察"))))</x:f>
      </x:c>
    </x:row>
    <x:row r="299">
      <x:c r="A299" s="95"/>
      <x:c r="B299" s="95"/>
      <x:c r="C299" s="95"/>
      <x:c r="D299" s="95"/>
      <x:c r="E299" s="95"/>
      <x:c r="F299" s="96"/>
      <x:c r="G299" s="96"/>
      <x:c r="H299" s="95"/>
      <x:c r="I299" s="97"/>
      <x:c r="J299" s="97"/>
      <x:c r="K299" s="98"/>
      <x:c r="L299" s="97"/>
      <x:c r="M299" s="97"/>
      <x:c r="N299" s="99" t="str">
        <x:f>IF(OR(I299="",K299=""),"",I299*K299)</x:f>
      </x:c>
      <x:c r="O299" s="99" t="str">
        <x:f>IF(OR(I299="",J299="",N299="",L299="",M299=""),"",I299-J299-N299-L299-M299)</x:f>
      </x:c>
      <x:c r="P299" s="100" t="str">
        <x:f>IFERROR(O299/I299,"")</x:f>
      </x:c>
      <x:c r="Q299" s="99" t="str">
        <x:f>IF(OR(H299="",I299=""),"",H299*I299)</x:f>
      </x:c>
      <x:c r="R299" s="99" t="str">
        <x:f>IF(OR(H299="",O299=""),"",H299*O299)</x:f>
      </x:c>
      <x:c r="S299" s="99" t="str">
        <x:f>IF(G299="","",$B$2-G299)</x:f>
      </x:c>
      <x:c r="T299" s="99" t="str">
        <x:f>IF(S299="","",IF(S299&gt;=90,"90日以上",IF(S299&gt;=60,"60-89日","59日以下")))</x:f>
      </x:c>
      <x:c r="U299" s="99" t="str">
        <x:f>IF(O299="","",IF(O299&lt;0,"赤字",IF(AND(S299&gt;=90,H299&lt;=2),"要見直し",IF(P299&lt;0.15,"低利益","通常"))))</x:f>
      </x:c>
      <x:c r="V299" s="99" t="str">
        <x:f>IF(U299="","",IF(U299="赤字",100,0)+IF(S299&gt;=90,50,0)+IF(P299&lt;0.15,30,0)+IF(E299&gt;=15,10,0))</x:f>
      </x:c>
      <x:c r="W299" s="101" t="str">
        <x:f>IF(U299="","",IF(U299="赤字","価格・原価・送料を再確認",IF(AND(S299&gt;=90,H299&lt;=2),"値下げ・再出品・仕入停止を検討",IF(P299&lt;0.15,"送料・手数料を見直す","継続観察"))))</x:f>
      </x:c>
    </x:row>
    <x:row r="300">
      <x:c r="A300" s="95"/>
      <x:c r="B300" s="95"/>
      <x:c r="C300" s="95"/>
      <x:c r="D300" s="95"/>
      <x:c r="E300" s="95"/>
      <x:c r="F300" s="96"/>
      <x:c r="G300" s="96"/>
      <x:c r="H300" s="95"/>
      <x:c r="I300" s="97"/>
      <x:c r="J300" s="97"/>
      <x:c r="K300" s="98"/>
      <x:c r="L300" s="97"/>
      <x:c r="M300" s="97"/>
      <x:c r="N300" s="99" t="str">
        <x:f>IF(OR(I300="",K300=""),"",I300*K300)</x:f>
      </x:c>
      <x:c r="O300" s="99" t="str">
        <x:f>IF(OR(I300="",J300="",N300="",L300="",M300=""),"",I300-J300-N300-L300-M300)</x:f>
      </x:c>
      <x:c r="P300" s="100" t="str">
        <x:f>IFERROR(O300/I300,"")</x:f>
      </x:c>
      <x:c r="Q300" s="99" t="str">
        <x:f>IF(OR(H300="",I300=""),"",H300*I300)</x:f>
      </x:c>
      <x:c r="R300" s="99" t="str">
        <x:f>IF(OR(H300="",O300=""),"",H300*O300)</x:f>
      </x:c>
      <x:c r="S300" s="99" t="str">
        <x:f>IF(G300="","",$B$2-G300)</x:f>
      </x:c>
      <x:c r="T300" s="99" t="str">
        <x:f>IF(S300="","",IF(S300&gt;=90,"90日以上",IF(S300&gt;=60,"60-89日","59日以下")))</x:f>
      </x:c>
      <x:c r="U300" s="99" t="str">
        <x:f>IF(O300="","",IF(O300&lt;0,"赤字",IF(AND(S300&gt;=90,H300&lt;=2),"要見直し",IF(P300&lt;0.15,"低利益","通常"))))</x:f>
      </x:c>
      <x:c r="V300" s="99" t="str">
        <x:f>IF(U300="","",IF(U300="赤字",100,0)+IF(S300&gt;=90,50,0)+IF(P300&lt;0.15,30,0)+IF(E300&gt;=15,10,0))</x:f>
      </x:c>
      <x:c r="W300" s="101" t="str">
        <x:f>IF(U300="","",IF(U300="赤字","価格・原価・送料を再確認",IF(AND(S300&gt;=90,H300&lt;=2),"値下げ・再出品・仕入停止を検討",IF(P300&lt;0.15,"送料・手数料を見直す","継続観察"))))</x:f>
      </x:c>
    </x:row>
    <x:row r="301">
      <x:c r="A301" s="95"/>
      <x:c r="B301" s="95"/>
      <x:c r="C301" s="95"/>
      <x:c r="D301" s="95"/>
      <x:c r="E301" s="95"/>
      <x:c r="F301" s="96"/>
      <x:c r="G301" s="96"/>
      <x:c r="H301" s="95"/>
      <x:c r="I301" s="97"/>
      <x:c r="J301" s="97"/>
      <x:c r="K301" s="98"/>
      <x:c r="L301" s="97"/>
      <x:c r="M301" s="97"/>
      <x:c r="N301" s="99" t="str">
        <x:f>IF(OR(I301="",K301=""),"",I301*K301)</x:f>
      </x:c>
      <x:c r="O301" s="99" t="str">
        <x:f>IF(OR(I301="",J301="",N301="",L301="",M301=""),"",I301-J301-N301-L301-M301)</x:f>
      </x:c>
      <x:c r="P301" s="100" t="str">
        <x:f>IFERROR(O301/I301,"")</x:f>
      </x:c>
      <x:c r="Q301" s="99" t="str">
        <x:f>IF(OR(H301="",I301=""),"",H301*I301)</x:f>
      </x:c>
      <x:c r="R301" s="99" t="str">
        <x:f>IF(OR(H301="",O301=""),"",H301*O301)</x:f>
      </x:c>
      <x:c r="S301" s="99" t="str">
        <x:f>IF(G301="","",$B$2-G301)</x:f>
      </x:c>
      <x:c r="T301" s="99" t="str">
        <x:f>IF(S301="","",IF(S301&gt;=90,"90日以上",IF(S301&gt;=60,"60-89日","59日以下")))</x:f>
      </x:c>
      <x:c r="U301" s="99" t="str">
        <x:f>IF(O301="","",IF(O301&lt;0,"赤字",IF(AND(S301&gt;=90,H301&lt;=2),"要見直し",IF(P301&lt;0.15,"低利益","通常"))))</x:f>
      </x:c>
      <x:c r="V301" s="99" t="str">
        <x:f>IF(U301="","",IF(U301="赤字",100,0)+IF(S301&gt;=90,50,0)+IF(P301&lt;0.15,30,0)+IF(E301&gt;=15,10,0))</x:f>
      </x:c>
      <x:c r="W301" s="101" t="str">
        <x:f>IF(U301="","",IF(U301="赤字","価格・原価・送料を再確認",IF(AND(S301&gt;=90,H301&lt;=2),"値下げ・再出品・仕入停止を検討",IF(P301&lt;0.15,"送料・手数料を見直す","継続観察"))))</x:f>
      </x:c>
    </x:row>
    <x:row r="302">
      <x:c r="A302" s="95"/>
      <x:c r="B302" s="95"/>
      <x:c r="C302" s="95"/>
      <x:c r="D302" s="95"/>
      <x:c r="E302" s="95"/>
      <x:c r="F302" s="96"/>
      <x:c r="G302" s="96"/>
      <x:c r="H302" s="95"/>
      <x:c r="I302" s="97"/>
      <x:c r="J302" s="97"/>
      <x:c r="K302" s="98"/>
      <x:c r="L302" s="97"/>
      <x:c r="M302" s="97"/>
      <x:c r="N302" s="99" t="str">
        <x:f>IF(OR(I302="",K302=""),"",I302*K302)</x:f>
      </x:c>
      <x:c r="O302" s="99" t="str">
        <x:f>IF(OR(I302="",J302="",N302="",L302="",M302=""),"",I302-J302-N302-L302-M302)</x:f>
      </x:c>
      <x:c r="P302" s="100" t="str">
        <x:f>IFERROR(O302/I302,"")</x:f>
      </x:c>
      <x:c r="Q302" s="99" t="str">
        <x:f>IF(OR(H302="",I302=""),"",H302*I302)</x:f>
      </x:c>
      <x:c r="R302" s="99" t="str">
        <x:f>IF(OR(H302="",O302=""),"",H302*O302)</x:f>
      </x:c>
      <x:c r="S302" s="99" t="str">
        <x:f>IF(G302="","",$B$2-G302)</x:f>
      </x:c>
      <x:c r="T302" s="99" t="str">
        <x:f>IF(S302="","",IF(S302&gt;=90,"90日以上",IF(S302&gt;=60,"60-89日","59日以下")))</x:f>
      </x:c>
      <x:c r="U302" s="99" t="str">
        <x:f>IF(O302="","",IF(O302&lt;0,"赤字",IF(AND(S302&gt;=90,H302&lt;=2),"要見直し",IF(P302&lt;0.15,"低利益","通常"))))</x:f>
      </x:c>
      <x:c r="V302" s="99" t="str">
        <x:f>IF(U302="","",IF(U302="赤字",100,0)+IF(S302&gt;=90,50,0)+IF(P302&lt;0.15,30,0)+IF(E302&gt;=15,10,0))</x:f>
      </x:c>
      <x:c r="W302" s="101" t="str">
        <x:f>IF(U302="","",IF(U302="赤字","価格・原価・送料を再確認",IF(AND(S302&gt;=90,H302&lt;=2),"値下げ・再出品・仕入停止を検討",IF(P302&lt;0.15,"送料・手数料を見直す","継続観察"))))</x:f>
      </x:c>
    </x:row>
    <x:row r="303">
      <x:c r="A303" s="95"/>
      <x:c r="B303" s="95"/>
      <x:c r="C303" s="95"/>
      <x:c r="D303" s="95"/>
      <x:c r="E303" s="95"/>
      <x:c r="F303" s="96"/>
      <x:c r="G303" s="96"/>
      <x:c r="H303" s="95"/>
      <x:c r="I303" s="97"/>
      <x:c r="J303" s="97"/>
      <x:c r="K303" s="98"/>
      <x:c r="L303" s="97"/>
      <x:c r="M303" s="97"/>
      <x:c r="N303" s="99" t="str">
        <x:f>IF(OR(I303="",K303=""),"",I303*K303)</x:f>
      </x:c>
      <x:c r="O303" s="99" t="str">
        <x:f>IF(OR(I303="",J303="",N303="",L303="",M303=""),"",I303-J303-N303-L303-M303)</x:f>
      </x:c>
      <x:c r="P303" s="100" t="str">
        <x:f>IFERROR(O303/I303,"")</x:f>
      </x:c>
      <x:c r="Q303" s="99" t="str">
        <x:f>IF(OR(H303="",I303=""),"",H303*I303)</x:f>
      </x:c>
      <x:c r="R303" s="99" t="str">
        <x:f>IF(OR(H303="",O303=""),"",H303*O303)</x:f>
      </x:c>
      <x:c r="S303" s="99" t="str">
        <x:f>IF(G303="","",$B$2-G303)</x:f>
      </x:c>
      <x:c r="T303" s="99" t="str">
        <x:f>IF(S303="","",IF(S303&gt;=90,"90日以上",IF(S303&gt;=60,"60-89日","59日以下")))</x:f>
      </x:c>
      <x:c r="U303" s="99" t="str">
        <x:f>IF(O303="","",IF(O303&lt;0,"赤字",IF(AND(S303&gt;=90,H303&lt;=2),"要見直し",IF(P303&lt;0.15,"低利益","通常"))))</x:f>
      </x:c>
      <x:c r="V303" s="99" t="str">
        <x:f>IF(U303="","",IF(U303="赤字",100,0)+IF(S303&gt;=90,50,0)+IF(P303&lt;0.15,30,0)+IF(E303&gt;=15,10,0))</x:f>
      </x:c>
      <x:c r="W303" s="101" t="str">
        <x:f>IF(U303="","",IF(U303="赤字","価格・原価・送料を再確認",IF(AND(S303&gt;=90,H303&lt;=2),"値下げ・再出品・仕入停止を検討",IF(P303&lt;0.15,"送料・手数料を見直す","継続観察"))))</x:f>
      </x:c>
    </x:row>
    <x:row r="304">
      <x:c r="A304" s="95"/>
      <x:c r="B304" s="95"/>
      <x:c r="C304" s="95"/>
      <x:c r="D304" s="95"/>
      <x:c r="E304" s="95"/>
      <x:c r="F304" s="96"/>
      <x:c r="G304" s="96"/>
      <x:c r="H304" s="95"/>
      <x:c r="I304" s="97"/>
      <x:c r="J304" s="97"/>
      <x:c r="K304" s="98"/>
      <x:c r="L304" s="97"/>
      <x:c r="M304" s="97"/>
      <x:c r="N304" s="99" t="str">
        <x:f>IF(OR(I304="",K304=""),"",I304*K304)</x:f>
      </x:c>
      <x:c r="O304" s="99" t="str">
        <x:f>IF(OR(I304="",J304="",N304="",L304="",M304=""),"",I304-J304-N304-L304-M304)</x:f>
      </x:c>
      <x:c r="P304" s="100" t="str">
        <x:f>IFERROR(O304/I304,"")</x:f>
      </x:c>
      <x:c r="Q304" s="99" t="str">
        <x:f>IF(OR(H304="",I304=""),"",H304*I304)</x:f>
      </x:c>
      <x:c r="R304" s="99" t="str">
        <x:f>IF(OR(H304="",O304=""),"",H304*O304)</x:f>
      </x:c>
      <x:c r="S304" s="99" t="str">
        <x:f>IF(G304="","",$B$2-G304)</x:f>
      </x:c>
      <x:c r="T304" s="99" t="str">
        <x:f>IF(S304="","",IF(S304&gt;=90,"90日以上",IF(S304&gt;=60,"60-89日","59日以下")))</x:f>
      </x:c>
      <x:c r="U304" s="99" t="str">
        <x:f>IF(O304="","",IF(O304&lt;0,"赤字",IF(AND(S304&gt;=90,H304&lt;=2),"要見直し",IF(P304&lt;0.15,"低利益","通常"))))</x:f>
      </x:c>
      <x:c r="V304" s="99" t="str">
        <x:f>IF(U304="","",IF(U304="赤字",100,0)+IF(S304&gt;=90,50,0)+IF(P304&lt;0.15,30,0)+IF(E304&gt;=15,10,0))</x:f>
      </x:c>
      <x:c r="W304" s="101" t="str">
        <x:f>IF(U304="","",IF(U304="赤字","価格・原価・送料を再確認",IF(AND(S304&gt;=90,H304&lt;=2),"値下げ・再出品・仕入停止を検討",IF(P304&lt;0.15,"送料・手数料を見直す","継続観察"))))</x:f>
      </x:c>
    </x:row>
  </x:sheetData>
  <x:mergeCells>
    <x:mergeCell ref="A1:W1"/>
    <x:mergeCell ref="D2:W2"/>
  </x:mergeCells>
  <x:conditionalFormatting sqref="O5:O304">
    <x:cfRule type="cellIs" dxfId="4" priority="1" operator="lessThan">
      <x:formula>0</x:formula>
    </x:cfRule>
  </x:conditionalFormatting>
  <x:dataValidations count="4">
    <x:dataValidation type="date" operator="between" sqref="F5:F304">
      <x:formula1>DATE(2020,1,1)</x:formula1>
      <x:formula2>DATE(2030,12,31)</x:formula2>
    </x:dataValidation>
    <x:dataValidation type="date" operator="between" sqref="G5:G304">
      <x:formula1>DATE(2020,1,1)</x:formula1>
      <x:formula2>DATE(2030,12,31)</x:formula2>
    </x:dataValidation>
    <x:dataValidation type="list" sqref="C5:C304">
      <x:formula1>"生活雑貨,服飾小物,アウトドア,ホビー,インテリア,キッチン雑貨,その他"</x:formula1>
    </x:dataValidation>
    <x:dataValidation type="list" sqref="D5:D304">
      <x:formula1>"自社EC,モールA,モールB,実店舗,その他"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3b4e6857fe4a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3" t="str">
        <x:v>提案文｜非PC EC 在庫・粗利健康診断（そのままコピーして使えます）</x:v>
      </x:c>
      <x:c r="B1" s="3" t="str">
        <x:v>提案文｜非PC EC 在庫・粗利健康診断（そのままコピーして使えます）</x:v>
      </x:c>
      <x:c r="C1" s="3" t="str">
        <x:v>提案文｜非PC EC 在庫・粗利健康診断（そのままコピーして使えます）</x:v>
      </x:c>
      <x:c r="D1" s="3" t="str">
        <x:v>提案文｜非PC EC 在庫・粗利健康診断（そのままコピーして使えます）</x:v>
      </x:c>
      <x:c r="E1" s="3" t="str">
        <x:v>提案文｜非PC EC 在庫・粗利健康診断（そのままコピーして使えます）</x:v>
      </x:c>
      <x:c r="F1" s="3" t="str">
        <x:v>提案文｜非PC EC 在庫・粗利健康診断（そのままコピーして使えます）</x:v>
      </x:c>
      <x:c r="G1" s="3" t="str">
        <x:v>提案文｜非PC EC 在庫・粗利健康診断（そのままコピーして使えます）</x:v>
      </x:c>
      <x:c r="H1" s="3" t="str">
        <x:v>提案文｜非PC EC 在庫・粗利健康診断（そのままコピーして使えます）</x:v>
      </x:c>
      <x:c r="I1" s="3" t="str">
        <x:v>提案文｜非PC EC 在庫・粗利健康診断（そのままコピーして使えます）</x:v>
      </x:c>
      <x:c r="J1" s="3" t="str">
        <x:v>提案文｜非PC EC 在庫・粗利健康診断（そのままコピーして使えます）</x:v>
      </x:c>
      <x:c r="K1" s="3" t="str">
        <x:v>提案文｜非PC EC 在庫・粗利健康診断（そのままコピーして使えます）</x:v>
      </x:c>
      <x:c r="L1" s="3" t="str">
        <x:v>提案文｜非PC EC 在庫・粗利健康診断（そのままコピーして使えます）</x:v>
      </x:c>
    </x:row>
    <x:row r="2" ht="25" customHeight="1">
      <x:c r="A2" s="77" t="str">
        <x:v>初回3社限定・5,500円前払いの有料PoC向けです。相手の商材・販路に合わせ、冒頭の一文だけ個別化してください。</x:v>
      </x:c>
    </x:row>
    <x:row r="4" ht="22" customHeight="1">
      <x:c r="A4" s="9" t="str">
        <x:v>初回提案文</x:v>
      </x:c>
      <x:c r="B4" s="9" t="str">
        <x:v>初回提案文</x:v>
      </x:c>
      <x:c r="C4" s="9" t="str">
        <x:v>初回提案文</x:v>
      </x:c>
      <x:c r="D4" s="9" t="str">
        <x:v>初回提案文</x:v>
      </x:c>
      <x:c r="E4" s="9" t="str">
        <x:v>初回提案文</x:v>
      </x:c>
      <x:c r="F4" s="9" t="str">
        <x:v>初回提案文</x:v>
      </x:c>
      <x:c r="G4" s="9" t="str">
        <x:v>初回提案文</x:v>
      </x:c>
      <x:c r="H4" s="9" t="str">
        <x:v>初回提案文</x:v>
      </x:c>
      <x:c r="I4" s="9" t="str">
        <x:v>初回提案文</x:v>
      </x:c>
      <x:c r="J4" s="9" t="str">
        <x:v>初回提案文</x:v>
      </x:c>
      <x:c r="K4" s="9" t="str">
        <x:v>初回提案文</x:v>
      </x:c>
      <x:c r="L4" s="9" t="str">
        <x:v>初回提案文</x:v>
      </x:c>
    </x:row>
    <x:row r="5">
      <x:c r="A5" s="102" t="str">
        <x:v>件名</x:v>
      </x:c>
      <x:c r="B5" s="112" t="str">
        <x:v>【初回3社限定】在庫・粗利の健康診断（匿名化CSVのみ／5,500円）</x:v>
      </x:c>
      <x:c r="C5" s="113"/>
      <x:c r="D5" s="113"/>
      <x:c r="E5" s="113"/>
      <x:c r="F5" s="113"/>
      <x:c r="G5" s="113"/>
      <x:c r="H5" s="113"/>
      <x:c r="I5" s="113"/>
      <x:c r="J5" s="113"/>
      <x:c r="K5" s="113"/>
      <x:c r="L5" s="114"/>
    </x:row>
    <x:row r="6" ht="170" customHeight="1">
      <x:c r="A6" s="102" t="str">
        <x:v>本文</x:v>
      </x:c>
      <x:c r="B6" s="115" t="str">
        <x:v>
○○様
拝見した商品構成に合わせて、非PC商材のEC在庫について「どの商品を値下げ・再出品・仕入停止するか」を1枚のアクションレポートにまとめる有料PoCを始めます。
買主情報やログイン情報は不要です。SKU、原価、販売額、手数料、送料、在庫数、最終販売日だけを匿名化したCSV/Excelで共有いただき、赤字SKU・最終販売から60/90日・来月の3アクションを3営業日以内にお返しします。
初回3社は5,500円・前払いです。対象は1〜2販路、最大300SKUです。
ご関心があれば、まず「今の在庫データをCSVで出せるか」だけ返信ください。入力項目の見本をお送りします。
</x:v>
      </x:c>
      <x:c r="C6" s="116"/>
      <x:c r="D6" s="116"/>
      <x:c r="E6" s="116"/>
      <x:c r="F6" s="116"/>
      <x:c r="G6" s="116"/>
      <x:c r="H6" s="116"/>
      <x:c r="I6" s="116"/>
      <x:c r="J6" s="116"/>
      <x:c r="K6" s="116"/>
      <x:c r="L6" s="117"/>
    </x:row>
    <x:row r="7">
      <x:c r="A7" s="102"/>
      <x:c r="B7" s="115"/>
      <x:c r="C7" s="116"/>
      <x:c r="D7" s="116"/>
      <x:c r="E7" s="116"/>
      <x:c r="F7" s="116"/>
      <x:c r="G7" s="116"/>
      <x:c r="H7" s="116"/>
      <x:c r="I7" s="116"/>
      <x:c r="J7" s="116"/>
      <x:c r="K7" s="116"/>
      <x:c r="L7" s="117"/>
    </x:row>
    <x:row r="8">
      <x:c r="A8" s="102"/>
      <x:c r="B8" s="115"/>
      <x:c r="C8" s="116"/>
      <x:c r="D8" s="116"/>
      <x:c r="E8" s="116"/>
      <x:c r="F8" s="116"/>
      <x:c r="G8" s="116"/>
      <x:c r="H8" s="116"/>
      <x:c r="I8" s="116"/>
      <x:c r="J8" s="116"/>
      <x:c r="K8" s="116"/>
      <x:c r="L8" s="117"/>
    </x:row>
    <x:row r="9">
      <x:c r="A9" s="102"/>
      <x:c r="B9" s="115"/>
      <x:c r="C9" s="116"/>
      <x:c r="D9" s="116"/>
      <x:c r="E9" s="116"/>
      <x:c r="F9" s="116"/>
      <x:c r="G9" s="116"/>
      <x:c r="H9" s="116"/>
      <x:c r="I9" s="116"/>
      <x:c r="J9" s="116"/>
      <x:c r="K9" s="116"/>
      <x:c r="L9" s="117"/>
    </x:row>
    <x:row r="10">
      <x:c r="A10" s="102"/>
      <x:c r="B10" s="115"/>
      <x:c r="C10" s="116"/>
      <x:c r="D10" s="116"/>
      <x:c r="E10" s="116"/>
      <x:c r="F10" s="116"/>
      <x:c r="G10" s="116"/>
      <x:c r="H10" s="116"/>
      <x:c r="I10" s="116"/>
      <x:c r="J10" s="116"/>
      <x:c r="K10" s="116"/>
      <x:c r="L10" s="117"/>
    </x:row>
    <x:row r="11">
      <x:c r="A11" s="102"/>
      <x:c r="B11" s="115"/>
      <x:c r="C11" s="116"/>
      <x:c r="D11" s="116"/>
      <x:c r="E11" s="116"/>
      <x:c r="F11" s="116"/>
      <x:c r="G11" s="116"/>
      <x:c r="H11" s="116"/>
      <x:c r="I11" s="116"/>
      <x:c r="J11" s="116"/>
      <x:c r="K11" s="116"/>
      <x:c r="L11" s="117"/>
    </x:row>
    <x:row r="12">
      <x:c r="A12" s="102"/>
      <x:c r="B12" s="115"/>
      <x:c r="C12" s="116"/>
      <x:c r="D12" s="116"/>
      <x:c r="E12" s="116"/>
      <x:c r="F12" s="116"/>
      <x:c r="G12" s="116"/>
      <x:c r="H12" s="116"/>
      <x:c r="I12" s="116"/>
      <x:c r="J12" s="116"/>
      <x:c r="K12" s="116"/>
      <x:c r="L12" s="117"/>
    </x:row>
    <x:row r="13">
      <x:c r="A13" s="102"/>
      <x:c r="B13" s="118"/>
      <x:c r="C13" s="119"/>
      <x:c r="D13" s="119"/>
      <x:c r="E13" s="119"/>
      <x:c r="F13" s="119"/>
      <x:c r="G13" s="119"/>
      <x:c r="H13" s="119"/>
      <x:c r="I13" s="119"/>
      <x:c r="J13" s="119"/>
      <x:c r="K13" s="119"/>
      <x:c r="L13" s="120"/>
    </x:row>
    <x:row r="15" ht="22" customHeight="1">
      <x:c r="A15" s="9" t="str">
        <x:v>フォローアップ文（3日後）</x:v>
      </x:c>
      <x:c r="B15" s="9" t="str">
        <x:v>フォローアップ文（3日後）</x:v>
      </x:c>
      <x:c r="C15" s="9" t="str">
        <x:v>フォローアップ文（3日後）</x:v>
      </x:c>
      <x:c r="D15" s="9" t="str">
        <x:v>フォローアップ文（3日後）</x:v>
      </x:c>
      <x:c r="E15" s="9" t="str">
        <x:v>フォローアップ文（3日後）</x:v>
      </x:c>
      <x:c r="F15" s="9" t="str">
        <x:v>フォローアップ文（3日後）</x:v>
      </x:c>
      <x:c r="G15" s="9" t="str">
        <x:v>フォローアップ文（3日後）</x:v>
      </x:c>
      <x:c r="H15" s="9" t="str">
        <x:v>フォローアップ文（3日後）</x:v>
      </x:c>
      <x:c r="I15" s="9" t="str">
        <x:v>フォローアップ文（3日後）</x:v>
      </x:c>
      <x:c r="J15" s="9" t="str">
        <x:v>フォローアップ文（3日後）</x:v>
      </x:c>
      <x:c r="K15" s="9" t="str">
        <x:v>フォローアップ文（3日後）</x:v>
      </x:c>
      <x:c r="L15" s="9" t="str">
        <x:v>フォローアップ文（3日後）</x:v>
      </x:c>
    </x:row>
    <x:row r="16" ht="88" customHeight="1">
      <x:c r="A16" s="102" t="str">
        <x:v>本文</x:v>
      </x:c>
      <x:c r="B16" s="112" t="str">
        <x:v>先日の在庫・粗利健康診断の件です。
もし「原価や送料まで整理できておらず、判断しにくい」という状態であれば、まずは匿名化した10SKUだけでも入力項目を確認できます。
無料分析ではなく、実データを扱う場合は5,500円の有料PoCとして進めます。不要でしたら返信不要です。</x:v>
      </x:c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4"/>
    </x:row>
    <x:row r="17">
      <x:c r="B17" s="115"/>
      <x:c r="C17" s="116"/>
      <x:c r="D17" s="116"/>
      <x:c r="E17" s="116"/>
      <x:c r="F17" s="116"/>
      <x:c r="G17" s="116"/>
      <x:c r="H17" s="116"/>
      <x:c r="I17" s="116"/>
      <x:c r="J17" s="116"/>
      <x:c r="K17" s="116"/>
      <x:c r="L17" s="117"/>
    </x:row>
    <x:row r="18">
      <x:c r="B18" s="115"/>
      <x:c r="C18" s="116"/>
      <x:c r="D18" s="116"/>
      <x:c r="E18" s="116"/>
      <x:c r="F18" s="116"/>
      <x:c r="G18" s="116"/>
      <x:c r="H18" s="116"/>
      <x:c r="I18" s="116"/>
      <x:c r="J18" s="116"/>
      <x:c r="K18" s="116"/>
      <x:c r="L18" s="117"/>
    </x:row>
    <x:row r="19">
      <x:c r="B19" s="118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20"/>
    </x:row>
    <x:row r="21" ht="22" customHeight="1">
      <x:c r="A21" s="9" t="str">
        <x:v>有料PoCの固定条件</x:v>
      </x:c>
      <x:c r="B21" s="9" t="str">
        <x:v>有料PoCの固定条件</x:v>
      </x:c>
      <x:c r="C21" s="9" t="str">
        <x:v>有料PoCの固定条件</x:v>
      </x:c>
      <x:c r="D21" s="9" t="str">
        <x:v>有料PoCの固定条件</x:v>
      </x:c>
      <x:c r="E21" s="9" t="str">
        <x:v>有料PoCの固定条件</x:v>
      </x:c>
      <x:c r="F21" s="9" t="str">
        <x:v>有料PoCの固定条件</x:v>
      </x:c>
      <x:c r="G21" s="9" t="str">
        <x:v>有料PoCの固定条件</x:v>
      </x:c>
      <x:c r="H21" s="9" t="str">
        <x:v>有料PoCの固定条件</x:v>
      </x:c>
      <x:c r="I21" s="9" t="str">
        <x:v>有料PoCの固定条件</x:v>
      </x:c>
      <x:c r="J21" s="9" t="str">
        <x:v>有料PoCの固定条件</x:v>
      </x:c>
      <x:c r="K21" s="9" t="str">
        <x:v>有料PoCの固定条件</x:v>
      </x:c>
      <x:c r="L21" s="9" t="str">
        <x:v>有料PoCの固定条件</x:v>
      </x:c>
    </x:row>
    <x:row r="22" ht="34" customHeight="1">
      <x:c r="A22" s="13" t="str">
        <x:v>項目</x:v>
      </x:c>
      <x:c r="B22" s="13" t="str">
        <x:v>条件</x:v>
      </x:c>
      <x:c r="C22" s="13" t="str">
        <x:v>理由</x:v>
      </x:c>
    </x:row>
    <x:row r="23">
      <x:c r="A23" s="19" t="str">
        <x:v>対象</x:v>
      </x:c>
      <x:c r="B23" s="15" t="str">
        <x:v>PC以外／1〜2販路／最大300SKU</x:v>
      </x:c>
      <x:c r="C23" s="15" t="str">
        <x:v>中古PC事業の競争優位を守る</x:v>
      </x:c>
    </x:row>
    <x:row r="24">
      <x:c r="A24" s="19" t="str">
        <x:v>価格</x:v>
      </x:c>
      <x:c r="B24" s="15" t="str">
        <x:v>初回3社：5,500円、全額前払い</x:v>
      </x:c>
      <x:c r="C24" s="15" t="str">
        <x:v>無料検証を避け、支払意思を確認する</x:v>
      </x:c>
    </x:row>
    <x:row r="25">
      <x:c r="A25" s="19" t="str">
        <x:v>納期</x:v>
      </x:c>
      <x:c r="B25" s="15" t="str">
        <x:v>匿名化済みCSV受領後、3営業日以内</x:v>
      </x:c>
      <x:c r="C25" s="15" t="str">
        <x:v>1日1時間で守れる範囲に固定</x:v>
      </x:c>
    </x:row>
    <x:row r="26">
      <x:c r="A26" s="19" t="str">
        <x:v>納品</x:v>
      </x:c>
      <x:c r="B26" s="15" t="str">
        <x:v>PDFまたはExcelのアクションレポート</x:v>
      </x:c>
      <x:c r="C26" s="15" t="str">
        <x:v>分析ではなく次の行動を売る</x:v>
      </x:c>
    </x:row>
    <x:row r="27">
      <x:c r="A27" s="19" t="str">
        <x:v>受け取らない情報</x:v>
      </x:c>
      <x:c r="B27" s="15" t="str">
        <x:v>買主情報、注文番号、ログイン情報</x:v>
      </x:c>
      <x:c r="C27" s="15" t="str">
        <x:v>個人情報・認証情報のリスクを避ける</x:v>
      </x:c>
    </x:row>
    <x:row r="28">
      <x:c r="A28" s="19" t="str">
        <x:v>非対応</x:v>
      </x:c>
      <x:c r="B28" s="15" t="str">
        <x:v>税務判断、売上保証、価格保証、スクレイピング</x:v>
      </x:c>
      <x:c r="C28" s="15" t="str">
        <x:v>責任範囲を限定する</x:v>
      </x:c>
    </x:row>
    <x:row r="29">
      <x:c r="A29" s="19" t="str">
        <x:v>修正</x:v>
      </x:c>
      <x:c r="B29" s="15" t="str">
        <x:v>入力データの修正1回まで</x:v>
      </x:c>
      <x:c r="C29" s="15" t="str">
        <x:v>無制限修正を防ぐ</x:v>
      </x:c>
    </x:row>
    <x:row r="30">
      <x:c r="A30" s="19" t="str">
        <x:v>継続提案</x:v>
      </x:c>
      <x:c r="B30" s="15" t="str">
        <x:v>次月以降：月額11,000円</x:v>
      </x:c>
      <x:c r="C30" s="15" t="str">
        <x:v>同じ入力形式の反復だけを継続対象にする</x:v>
      </x:c>
    </x:row>
  </x:sheetData>
  <x:mergeCells>
    <x:mergeCell ref="A1:L1"/>
    <x:mergeCell ref="A2:L2"/>
    <x:mergeCell ref="A4:L4"/>
    <x:mergeCell ref="B5:L5"/>
    <x:mergeCell ref="B6:L13"/>
    <x:mergeCell ref="A15:L15"/>
    <x:mergeCell ref="B16:L19"/>
    <x:mergeCell ref="A21:L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5" hidden="0" customWidth="1"/>
    <x:col min="4" max="4" width="20" hidden="0" customWidth="1"/>
    <x:col min="5" max="5" width="13" hidden="0" customWidth="1"/>
    <x:col min="6" max="6" width="13" hidden="0" customWidth="1"/>
    <x:col min="7" max="7" width="21" hidden="0" customWidth="1"/>
    <x:col min="8" max="8" width="11" hidden="0" customWidth="1"/>
    <x:col min="9" max="9" width="14" hidden="0" customWidth="1"/>
    <x:col min="10" max="10" width="13" hidden="0" customWidth="1"/>
    <x:col min="11" max="11" width="22" hidden="0" customWidth="1"/>
    <x:col min="12" max="12" width="13" hidden="0" customWidth="1"/>
    <x:col min="13" max="13" width="30" hidden="0" customWidth="1"/>
    <x:col min="14" max="14" width="16" hidden="0" customWidth="1"/>
    <x:col min="15" max="15" width="12" hidden="0" customWidth="1"/>
    <x:col min="16" max="16" width="28" hidden="0" customWidth="1"/>
  </x:cols>
  <x:sheetData>
    <x:row r="1" ht="28" customHeight="1">
      <x:c r="A1" s="3" t="str">
        <x:v>検証管理表｜7〜14日で有料PoCの支払意思を確認する</x:v>
      </x:c>
      <x:c r="B1" s="3" t="str">
        <x:v>検証管理表｜7〜14日で有料PoCの支払意思を確認する</x:v>
      </x:c>
      <x:c r="C1" s="3" t="str">
        <x:v>検証管理表｜7〜14日で有料PoCの支払意思を確認する</x:v>
      </x:c>
      <x:c r="D1" s="3" t="str">
        <x:v>検証管理表｜7〜14日で有料PoCの支払意思を確認する</x:v>
      </x:c>
      <x:c r="E1" s="3" t="str">
        <x:v>検証管理表｜7〜14日で有料PoCの支払意思を確認する</x:v>
      </x:c>
      <x:c r="F1" s="3" t="str">
        <x:v>検証管理表｜7〜14日で有料PoCの支払意思を確認する</x:v>
      </x:c>
      <x:c r="G1" s="3" t="str">
        <x:v>検証管理表｜7〜14日で有料PoCの支払意思を確認する</x:v>
      </x:c>
      <x:c r="H1" s="3" t="str">
        <x:v>検証管理表｜7〜14日で有料PoCの支払意思を確認する</x:v>
      </x:c>
      <x:c r="I1" s="3" t="str">
        <x:v>検証管理表｜7〜14日で有料PoCの支払意思を確認する</x:v>
      </x:c>
      <x:c r="J1" s="3" t="str">
        <x:v>検証管理表｜7〜14日で有料PoCの支払意思を確認する</x:v>
      </x:c>
      <x:c r="K1" s="3" t="str">
        <x:v>検証管理表｜7〜14日で有料PoCの支払意思を確認する</x:v>
      </x:c>
      <x:c r="L1" s="3" t="str">
        <x:v>検証管理表｜7〜14日で有料PoCの支払意思を確認する</x:v>
      </x:c>
      <x:c r="M1" s="3" t="str">
        <x:v>検証管理表｜7〜14日で有料PoCの支払意思を確認する</x:v>
      </x:c>
      <x:c r="N1" s="3" t="str">
        <x:v>検証管理表｜7〜14日で有料PoCの支払意思を確認する</x:v>
      </x:c>
      <x:c r="O1" s="3" t="str">
        <x:v>検証管理表｜7〜14日で有料PoCの支払意思を確認する</x:v>
      </x:c>
      <x:c r="P1" s="3" t="str">
        <x:v>検証管理表｜7〜14日で有料PoCの支払意思を確認する</x:v>
      </x:c>
    </x:row>
    <x:row r="2">
      <x:c r="A2" s="122" t="str">
        <x:v>対象件数</x:v>
      </x:c>
      <x:c r="B2" s="122" t="str">
        <x:v>提案件数</x:v>
      </x:c>
      <x:c r="C2" s="122" t="str">
        <x:v>有料PoC</x:v>
      </x:c>
      <x:c r="D2" s="122" t="str">
        <x:v>全額入金</x:v>
      </x:c>
      <x:c r="E2" s="23" t="str">
        <x:v>GO基準</x:v>
      </x:c>
      <x:c r="F2" s="23" t="str">
        <x:v>5,500円以上の入金1件</x:v>
      </x:c>
      <x:c r="G2" s="23" t="str">
        <x:v>STOP基準</x:v>
      </x:c>
      <x:c r="H2" s="23" t="str">
        <x:v>適格20件・会話5件で入金ゼロ</x:v>
      </x:c>
    </x:row>
    <x:row r="3">
      <x:c r="A3" s="125" t="n">
        <x:f>COUNTA(B5:B54)</x:f>
        <x:v>0</x:v>
      </x:c>
      <x:c r="B3" s="125" t="n">
        <x:f>COUNTIF(F5:F54,"提案済")+COUNTIF(F5:F54,"会話中")+COUNTIF(F5:F54,"有料PoC")+COUNTIF(F5:F54,"継続提案")</x:f>
        <x:v>0</x:v>
      </x:c>
      <x:c r="C3" s="125" t="n">
        <x:f>COUNTIF(F5:F54,"有料PoC")</x:f>
        <x:v>0</x:v>
      </x:c>
      <x:c r="D3" s="125" t="n">
        <x:f>COUNTIF(I5:I54,"全額入金")</x:f>
        <x:v>0</x:v>
      </x:c>
      <x:c r="E3" s="23"/>
      <x:c r="F3" s="23"/>
      <x:c r="G3" s="23"/>
      <x:c r="H3" s="23"/>
    </x:row>
    <x:row r="4" ht="34" customHeight="1">
      <x:c r="A4" s="79" t="str">
        <x:v>見込み客ID</x:v>
      </x:c>
      <x:c r="B4" s="79" t="str">
        <x:v>事業者名</x:v>
      </x:c>
      <x:c r="C4" s="79" t="str">
        <x:v>商品カテゴリ</x:v>
      </x:c>
      <x:c r="D4" s="79" t="str">
        <x:v>接点・紹介元</x:v>
      </x:c>
      <x:c r="E4" s="79" t="str">
        <x:v>提案日</x:v>
      </x:c>
      <x:c r="F4" s="79" t="str">
        <x:v>ステータス</x:v>
      </x:c>
      <x:c r="G4" s="79" t="str">
        <x:v>提案商品</x:v>
      </x:c>
      <x:c r="H4" s="79" t="str">
        <x:v>提示価格</x:v>
      </x:c>
      <x:c r="I4" s="79" t="str">
        <x:v>支払状況</x:v>
      </x:c>
      <x:c r="J4" s="79" t="str">
        <x:v>面談予定</x:v>
      </x:c>
      <x:c r="K4" s="79" t="str">
        <x:v>次アクション</x:v>
      </x:c>
      <x:c r="L4" s="79" t="str">
        <x:v>次回期限</x:v>
      </x:c>
      <x:c r="M4" s="79" t="str">
        <x:v>反応・課題</x:v>
      </x:c>
      <x:c r="N4" s="79" t="str">
        <x:v>匿名化CSV受領</x:v>
      </x:c>
      <x:c r="O4" s="79" t="str">
        <x:v>実作業時間</x:v>
      </x:c>
      <x:c r="P4" s="79" t="str">
        <x:v>学び・却下理由</x:v>
      </x:c>
    </x:row>
    <x:row r="5">
      <x:c r="A5" s="129" t="str">
        <x:f>IF(B5="","","L-"&amp;TEXT(ROW()-4,"000"))</x:f>
      </x:c>
      <x:c r="B5" s="129"/>
      <x:c r="C5" s="129"/>
      <x:c r="D5" s="129"/>
      <x:c r="E5" s="130"/>
      <x:c r="F5" s="129"/>
      <x:c r="G5" s="129"/>
      <x:c r="H5" s="131"/>
      <x:c r="I5" s="129"/>
      <x:c r="J5" s="130"/>
      <x:c r="K5" s="129"/>
      <x:c r="L5" s="130"/>
      <x:c r="M5" s="129"/>
      <x:c r="N5" s="129"/>
      <x:c r="O5" s="132"/>
      <x:c r="P5" s="129"/>
    </x:row>
    <x:row r="6">
      <x:c r="A6" s="129" t="str">
        <x:f>IF(B6="","","L-"&amp;TEXT(ROW()-4,"000"))</x:f>
      </x:c>
      <x:c r="B6" s="129"/>
      <x:c r="C6" s="129"/>
      <x:c r="D6" s="129"/>
      <x:c r="E6" s="130"/>
      <x:c r="F6" s="129"/>
      <x:c r="G6" s="129"/>
      <x:c r="H6" s="131"/>
      <x:c r="I6" s="129"/>
      <x:c r="J6" s="130"/>
      <x:c r="K6" s="129"/>
      <x:c r="L6" s="130"/>
      <x:c r="M6" s="129"/>
      <x:c r="N6" s="129"/>
      <x:c r="O6" s="132"/>
      <x:c r="P6" s="129"/>
    </x:row>
    <x:row r="7">
      <x:c r="A7" s="129" t="str">
        <x:f>IF(B7="","","L-"&amp;TEXT(ROW()-4,"000"))</x:f>
      </x:c>
      <x:c r="B7" s="129"/>
      <x:c r="C7" s="129"/>
      <x:c r="D7" s="129"/>
      <x:c r="E7" s="130"/>
      <x:c r="F7" s="129"/>
      <x:c r="G7" s="129"/>
      <x:c r="H7" s="131"/>
      <x:c r="I7" s="129"/>
      <x:c r="J7" s="130"/>
      <x:c r="K7" s="129"/>
      <x:c r="L7" s="130"/>
      <x:c r="M7" s="129"/>
      <x:c r="N7" s="129"/>
      <x:c r="O7" s="132"/>
      <x:c r="P7" s="129"/>
    </x:row>
    <x:row r="8">
      <x:c r="A8" s="129" t="str">
        <x:f>IF(B8="","","L-"&amp;TEXT(ROW()-4,"000"))</x:f>
      </x:c>
      <x:c r="B8" s="129"/>
      <x:c r="C8" s="129"/>
      <x:c r="D8" s="129"/>
      <x:c r="E8" s="130"/>
      <x:c r="F8" s="129"/>
      <x:c r="G8" s="129"/>
      <x:c r="H8" s="131"/>
      <x:c r="I8" s="129"/>
      <x:c r="J8" s="130"/>
      <x:c r="K8" s="129"/>
      <x:c r="L8" s="130"/>
      <x:c r="M8" s="129"/>
      <x:c r="N8" s="129"/>
      <x:c r="O8" s="132"/>
      <x:c r="P8" s="129"/>
    </x:row>
    <x:row r="9">
      <x:c r="A9" s="129" t="str">
        <x:f>IF(B9="","","L-"&amp;TEXT(ROW()-4,"000"))</x:f>
      </x:c>
      <x:c r="B9" s="129"/>
      <x:c r="C9" s="129"/>
      <x:c r="D9" s="129"/>
      <x:c r="E9" s="130"/>
      <x:c r="F9" s="129"/>
      <x:c r="G9" s="129"/>
      <x:c r="H9" s="131"/>
      <x:c r="I9" s="129"/>
      <x:c r="J9" s="130"/>
      <x:c r="K9" s="129"/>
      <x:c r="L9" s="130"/>
      <x:c r="M9" s="129"/>
      <x:c r="N9" s="129"/>
      <x:c r="O9" s="132"/>
      <x:c r="P9" s="129"/>
    </x:row>
    <x:row r="10">
      <x:c r="A10" s="129" t="str">
        <x:f>IF(B10="","","L-"&amp;TEXT(ROW()-4,"000"))</x:f>
      </x:c>
      <x:c r="B10" s="129"/>
      <x:c r="C10" s="129"/>
      <x:c r="D10" s="129"/>
      <x:c r="E10" s="130"/>
      <x:c r="F10" s="129"/>
      <x:c r="G10" s="129"/>
      <x:c r="H10" s="131"/>
      <x:c r="I10" s="129"/>
      <x:c r="J10" s="130"/>
      <x:c r="K10" s="129"/>
      <x:c r="L10" s="130"/>
      <x:c r="M10" s="129"/>
      <x:c r="N10" s="129"/>
      <x:c r="O10" s="132"/>
      <x:c r="P10" s="129"/>
    </x:row>
    <x:row r="11">
      <x:c r="A11" s="129" t="str">
        <x:f>IF(B11="","","L-"&amp;TEXT(ROW()-4,"000"))</x:f>
      </x:c>
      <x:c r="B11" s="129"/>
      <x:c r="C11" s="129"/>
      <x:c r="D11" s="129"/>
      <x:c r="E11" s="130"/>
      <x:c r="F11" s="129"/>
      <x:c r="G11" s="129"/>
      <x:c r="H11" s="131"/>
      <x:c r="I11" s="129"/>
      <x:c r="J11" s="130"/>
      <x:c r="K11" s="129"/>
      <x:c r="L11" s="130"/>
      <x:c r="M11" s="129"/>
      <x:c r="N11" s="129"/>
      <x:c r="O11" s="132"/>
      <x:c r="P11" s="129"/>
    </x:row>
    <x:row r="12">
      <x:c r="A12" s="129" t="str">
        <x:f>IF(B12="","","L-"&amp;TEXT(ROW()-4,"000"))</x:f>
      </x:c>
      <x:c r="B12" s="129"/>
      <x:c r="C12" s="129"/>
      <x:c r="D12" s="129"/>
      <x:c r="E12" s="130"/>
      <x:c r="F12" s="129"/>
      <x:c r="G12" s="129"/>
      <x:c r="H12" s="131"/>
      <x:c r="I12" s="129"/>
      <x:c r="J12" s="130"/>
      <x:c r="K12" s="129"/>
      <x:c r="L12" s="130"/>
      <x:c r="M12" s="129"/>
      <x:c r="N12" s="129"/>
      <x:c r="O12" s="132"/>
      <x:c r="P12" s="129"/>
    </x:row>
    <x:row r="13">
      <x:c r="A13" s="129" t="str">
        <x:f>IF(B13="","","L-"&amp;TEXT(ROW()-4,"000"))</x:f>
      </x:c>
      <x:c r="B13" s="129"/>
      <x:c r="C13" s="129"/>
      <x:c r="D13" s="129"/>
      <x:c r="E13" s="130"/>
      <x:c r="F13" s="129"/>
      <x:c r="G13" s="129"/>
      <x:c r="H13" s="131"/>
      <x:c r="I13" s="129"/>
      <x:c r="J13" s="130"/>
      <x:c r="K13" s="129"/>
      <x:c r="L13" s="130"/>
      <x:c r="M13" s="129"/>
      <x:c r="N13" s="129"/>
      <x:c r="O13" s="132"/>
      <x:c r="P13" s="129"/>
    </x:row>
    <x:row r="14">
      <x:c r="A14" s="129" t="str">
        <x:f>IF(B14="","","L-"&amp;TEXT(ROW()-4,"000"))</x:f>
      </x:c>
      <x:c r="B14" s="129"/>
      <x:c r="C14" s="129"/>
      <x:c r="D14" s="129"/>
      <x:c r="E14" s="130"/>
      <x:c r="F14" s="129"/>
      <x:c r="G14" s="129"/>
      <x:c r="H14" s="131"/>
      <x:c r="I14" s="129"/>
      <x:c r="J14" s="130"/>
      <x:c r="K14" s="129"/>
      <x:c r="L14" s="130"/>
      <x:c r="M14" s="129"/>
      <x:c r="N14" s="129"/>
      <x:c r="O14" s="132"/>
      <x:c r="P14" s="129"/>
    </x:row>
    <x:row r="15">
      <x:c r="A15" s="129" t="str">
        <x:f>IF(B15="","","L-"&amp;TEXT(ROW()-4,"000"))</x:f>
      </x:c>
      <x:c r="B15" s="129"/>
      <x:c r="C15" s="129"/>
      <x:c r="D15" s="129"/>
      <x:c r="E15" s="130"/>
      <x:c r="F15" s="129"/>
      <x:c r="G15" s="129"/>
      <x:c r="H15" s="131"/>
      <x:c r="I15" s="129"/>
      <x:c r="J15" s="130"/>
      <x:c r="K15" s="129"/>
      <x:c r="L15" s="130"/>
      <x:c r="M15" s="129"/>
      <x:c r="N15" s="129"/>
      <x:c r="O15" s="132"/>
      <x:c r="P15" s="129"/>
    </x:row>
    <x:row r="16">
      <x:c r="A16" s="129" t="str">
        <x:f>IF(B16="","","L-"&amp;TEXT(ROW()-4,"000"))</x:f>
      </x:c>
      <x:c r="B16" s="129"/>
      <x:c r="C16" s="129"/>
      <x:c r="D16" s="129"/>
      <x:c r="E16" s="130"/>
      <x:c r="F16" s="129"/>
      <x:c r="G16" s="129"/>
      <x:c r="H16" s="131"/>
      <x:c r="I16" s="129"/>
      <x:c r="J16" s="130"/>
      <x:c r="K16" s="129"/>
      <x:c r="L16" s="130"/>
      <x:c r="M16" s="129"/>
      <x:c r="N16" s="129"/>
      <x:c r="O16" s="132"/>
      <x:c r="P16" s="129"/>
    </x:row>
    <x:row r="17">
      <x:c r="A17" s="129" t="str">
        <x:f>IF(B17="","","L-"&amp;TEXT(ROW()-4,"000"))</x:f>
      </x:c>
      <x:c r="B17" s="129"/>
      <x:c r="C17" s="129"/>
      <x:c r="D17" s="129"/>
      <x:c r="E17" s="130"/>
      <x:c r="F17" s="129"/>
      <x:c r="G17" s="129"/>
      <x:c r="H17" s="131"/>
      <x:c r="I17" s="129"/>
      <x:c r="J17" s="130"/>
      <x:c r="K17" s="129"/>
      <x:c r="L17" s="130"/>
      <x:c r="M17" s="129"/>
      <x:c r="N17" s="129"/>
      <x:c r="O17" s="132"/>
      <x:c r="P17" s="129"/>
    </x:row>
    <x:row r="18">
      <x:c r="A18" s="129" t="str">
        <x:f>IF(B18="","","L-"&amp;TEXT(ROW()-4,"000"))</x:f>
      </x:c>
      <x:c r="B18" s="129"/>
      <x:c r="C18" s="129"/>
      <x:c r="D18" s="129"/>
      <x:c r="E18" s="130"/>
      <x:c r="F18" s="129"/>
      <x:c r="G18" s="129"/>
      <x:c r="H18" s="131"/>
      <x:c r="I18" s="129"/>
      <x:c r="J18" s="130"/>
      <x:c r="K18" s="129"/>
      <x:c r="L18" s="130"/>
      <x:c r="M18" s="129"/>
      <x:c r="N18" s="129"/>
      <x:c r="O18" s="132"/>
      <x:c r="P18" s="129"/>
    </x:row>
    <x:row r="19">
      <x:c r="A19" s="129" t="str">
        <x:f>IF(B19="","","L-"&amp;TEXT(ROW()-4,"000"))</x:f>
      </x:c>
      <x:c r="B19" s="129"/>
      <x:c r="C19" s="129"/>
      <x:c r="D19" s="129"/>
      <x:c r="E19" s="130"/>
      <x:c r="F19" s="129"/>
      <x:c r="G19" s="129"/>
      <x:c r="H19" s="131"/>
      <x:c r="I19" s="129"/>
      <x:c r="J19" s="130"/>
      <x:c r="K19" s="129"/>
      <x:c r="L19" s="130"/>
      <x:c r="M19" s="129"/>
      <x:c r="N19" s="129"/>
      <x:c r="O19" s="132"/>
      <x:c r="P19" s="129"/>
    </x:row>
    <x:row r="20">
      <x:c r="A20" s="129" t="str">
        <x:f>IF(B20="","","L-"&amp;TEXT(ROW()-4,"000"))</x:f>
      </x:c>
      <x:c r="B20" s="129"/>
      <x:c r="C20" s="129"/>
      <x:c r="D20" s="129"/>
      <x:c r="E20" s="130"/>
      <x:c r="F20" s="129"/>
      <x:c r="G20" s="129"/>
      <x:c r="H20" s="131"/>
      <x:c r="I20" s="129"/>
      <x:c r="J20" s="130"/>
      <x:c r="K20" s="129"/>
      <x:c r="L20" s="130"/>
      <x:c r="M20" s="129"/>
      <x:c r="N20" s="129"/>
      <x:c r="O20" s="132"/>
      <x:c r="P20" s="129"/>
    </x:row>
    <x:row r="21">
      <x:c r="A21" s="129" t="str">
        <x:f>IF(B21="","","L-"&amp;TEXT(ROW()-4,"000"))</x:f>
      </x:c>
      <x:c r="B21" s="129"/>
      <x:c r="C21" s="129"/>
      <x:c r="D21" s="129"/>
      <x:c r="E21" s="130"/>
      <x:c r="F21" s="129"/>
      <x:c r="G21" s="129"/>
      <x:c r="H21" s="131"/>
      <x:c r="I21" s="129"/>
      <x:c r="J21" s="130"/>
      <x:c r="K21" s="129"/>
      <x:c r="L21" s="130"/>
      <x:c r="M21" s="129"/>
      <x:c r="N21" s="129"/>
      <x:c r="O21" s="132"/>
      <x:c r="P21" s="129"/>
    </x:row>
    <x:row r="22">
      <x:c r="A22" s="129" t="str">
        <x:f>IF(B22="","","L-"&amp;TEXT(ROW()-4,"000"))</x:f>
      </x:c>
      <x:c r="B22" s="129"/>
      <x:c r="C22" s="129"/>
      <x:c r="D22" s="129"/>
      <x:c r="E22" s="130"/>
      <x:c r="F22" s="129"/>
      <x:c r="G22" s="129"/>
      <x:c r="H22" s="131"/>
      <x:c r="I22" s="129"/>
      <x:c r="J22" s="130"/>
      <x:c r="K22" s="129"/>
      <x:c r="L22" s="130"/>
      <x:c r="M22" s="129"/>
      <x:c r="N22" s="129"/>
      <x:c r="O22" s="132"/>
      <x:c r="P22" s="129"/>
    </x:row>
    <x:row r="23">
      <x:c r="A23" s="129" t="str">
        <x:f>IF(B23="","","L-"&amp;TEXT(ROW()-4,"000"))</x:f>
      </x:c>
      <x:c r="B23" s="129"/>
      <x:c r="C23" s="129"/>
      <x:c r="D23" s="129"/>
      <x:c r="E23" s="130"/>
      <x:c r="F23" s="129"/>
      <x:c r="G23" s="129"/>
      <x:c r="H23" s="131"/>
      <x:c r="I23" s="129"/>
      <x:c r="J23" s="130"/>
      <x:c r="K23" s="129"/>
      <x:c r="L23" s="130"/>
      <x:c r="M23" s="129"/>
      <x:c r="N23" s="129"/>
      <x:c r="O23" s="132"/>
      <x:c r="P23" s="129"/>
    </x:row>
    <x:row r="24">
      <x:c r="A24" s="129" t="str">
        <x:f>IF(B24="","","L-"&amp;TEXT(ROW()-4,"000"))</x:f>
      </x:c>
      <x:c r="B24" s="129"/>
      <x:c r="C24" s="129"/>
      <x:c r="D24" s="129"/>
      <x:c r="E24" s="130"/>
      <x:c r="F24" s="129"/>
      <x:c r="G24" s="129"/>
      <x:c r="H24" s="131"/>
      <x:c r="I24" s="129"/>
      <x:c r="J24" s="130"/>
      <x:c r="K24" s="129"/>
      <x:c r="L24" s="130"/>
      <x:c r="M24" s="129"/>
      <x:c r="N24" s="129"/>
      <x:c r="O24" s="132"/>
      <x:c r="P24" s="129"/>
    </x:row>
    <x:row r="25">
      <x:c r="A25" s="129" t="str">
        <x:f>IF(B25="","","L-"&amp;TEXT(ROW()-4,"000"))</x:f>
      </x:c>
      <x:c r="B25" s="129"/>
      <x:c r="C25" s="129"/>
      <x:c r="D25" s="129"/>
      <x:c r="E25" s="130"/>
      <x:c r="F25" s="129"/>
      <x:c r="G25" s="129"/>
      <x:c r="H25" s="131"/>
      <x:c r="I25" s="129"/>
      <x:c r="J25" s="130"/>
      <x:c r="K25" s="129"/>
      <x:c r="L25" s="130"/>
      <x:c r="M25" s="129"/>
      <x:c r="N25" s="129"/>
      <x:c r="O25" s="132"/>
      <x:c r="P25" s="129"/>
    </x:row>
    <x:row r="26">
      <x:c r="A26" s="129" t="str">
        <x:f>IF(B26="","","L-"&amp;TEXT(ROW()-4,"000"))</x:f>
      </x:c>
      <x:c r="B26" s="129"/>
      <x:c r="C26" s="129"/>
      <x:c r="D26" s="129"/>
      <x:c r="E26" s="130"/>
      <x:c r="F26" s="129"/>
      <x:c r="G26" s="129"/>
      <x:c r="H26" s="131"/>
      <x:c r="I26" s="129"/>
      <x:c r="J26" s="130"/>
      <x:c r="K26" s="129"/>
      <x:c r="L26" s="130"/>
      <x:c r="M26" s="129"/>
      <x:c r="N26" s="129"/>
      <x:c r="O26" s="132"/>
      <x:c r="P26" s="129"/>
    </x:row>
    <x:row r="27">
      <x:c r="A27" s="129" t="str">
        <x:f>IF(B27="","","L-"&amp;TEXT(ROW()-4,"000"))</x:f>
      </x:c>
      <x:c r="B27" s="129"/>
      <x:c r="C27" s="129"/>
      <x:c r="D27" s="129"/>
      <x:c r="E27" s="130"/>
      <x:c r="F27" s="129"/>
      <x:c r="G27" s="129"/>
      <x:c r="H27" s="131"/>
      <x:c r="I27" s="129"/>
      <x:c r="J27" s="130"/>
      <x:c r="K27" s="129"/>
      <x:c r="L27" s="130"/>
      <x:c r="M27" s="129"/>
      <x:c r="N27" s="129"/>
      <x:c r="O27" s="132"/>
      <x:c r="P27" s="129"/>
    </x:row>
    <x:row r="28">
      <x:c r="A28" s="129" t="str">
        <x:f>IF(B28="","","L-"&amp;TEXT(ROW()-4,"000"))</x:f>
      </x:c>
      <x:c r="B28" s="129"/>
      <x:c r="C28" s="129"/>
      <x:c r="D28" s="129"/>
      <x:c r="E28" s="130"/>
      <x:c r="F28" s="129"/>
      <x:c r="G28" s="129"/>
      <x:c r="H28" s="131"/>
      <x:c r="I28" s="129"/>
      <x:c r="J28" s="130"/>
      <x:c r="K28" s="129"/>
      <x:c r="L28" s="130"/>
      <x:c r="M28" s="129"/>
      <x:c r="N28" s="129"/>
      <x:c r="O28" s="132"/>
      <x:c r="P28" s="129"/>
    </x:row>
    <x:row r="29">
      <x:c r="A29" s="129" t="str">
        <x:f>IF(B29="","","L-"&amp;TEXT(ROW()-4,"000"))</x:f>
      </x:c>
      <x:c r="B29" s="129"/>
      <x:c r="C29" s="129"/>
      <x:c r="D29" s="129"/>
      <x:c r="E29" s="130"/>
      <x:c r="F29" s="129"/>
      <x:c r="G29" s="129"/>
      <x:c r="H29" s="131"/>
      <x:c r="I29" s="129"/>
      <x:c r="J29" s="130"/>
      <x:c r="K29" s="129"/>
      <x:c r="L29" s="130"/>
      <x:c r="M29" s="129"/>
      <x:c r="N29" s="129"/>
      <x:c r="O29" s="132"/>
      <x:c r="P29" s="129"/>
    </x:row>
    <x:row r="30">
      <x:c r="A30" s="129" t="str">
        <x:f>IF(B30="","","L-"&amp;TEXT(ROW()-4,"000"))</x:f>
      </x:c>
      <x:c r="B30" s="129"/>
      <x:c r="C30" s="129"/>
      <x:c r="D30" s="129"/>
      <x:c r="E30" s="130"/>
      <x:c r="F30" s="129"/>
      <x:c r="G30" s="129"/>
      <x:c r="H30" s="131"/>
      <x:c r="I30" s="129"/>
      <x:c r="J30" s="130"/>
      <x:c r="K30" s="129"/>
      <x:c r="L30" s="130"/>
      <x:c r="M30" s="129"/>
      <x:c r="N30" s="129"/>
      <x:c r="O30" s="132"/>
      <x:c r="P30" s="129"/>
    </x:row>
    <x:row r="31">
      <x:c r="A31" s="129" t="str">
        <x:f>IF(B31="","","L-"&amp;TEXT(ROW()-4,"000"))</x:f>
      </x:c>
      <x:c r="B31" s="129"/>
      <x:c r="C31" s="129"/>
      <x:c r="D31" s="129"/>
      <x:c r="E31" s="130"/>
      <x:c r="F31" s="129"/>
      <x:c r="G31" s="129"/>
      <x:c r="H31" s="131"/>
      <x:c r="I31" s="129"/>
      <x:c r="J31" s="130"/>
      <x:c r="K31" s="129"/>
      <x:c r="L31" s="130"/>
      <x:c r="M31" s="129"/>
      <x:c r="N31" s="129"/>
      <x:c r="O31" s="132"/>
      <x:c r="P31" s="129"/>
    </x:row>
    <x:row r="32">
      <x:c r="A32" s="129" t="str">
        <x:f>IF(B32="","","L-"&amp;TEXT(ROW()-4,"000"))</x:f>
      </x:c>
      <x:c r="B32" s="129"/>
      <x:c r="C32" s="129"/>
      <x:c r="D32" s="129"/>
      <x:c r="E32" s="130"/>
      <x:c r="F32" s="129"/>
      <x:c r="G32" s="129"/>
      <x:c r="H32" s="131"/>
      <x:c r="I32" s="129"/>
      <x:c r="J32" s="130"/>
      <x:c r="K32" s="129"/>
      <x:c r="L32" s="130"/>
      <x:c r="M32" s="129"/>
      <x:c r="N32" s="129"/>
      <x:c r="O32" s="132"/>
      <x:c r="P32" s="129"/>
    </x:row>
    <x:row r="33">
      <x:c r="A33" s="129" t="str">
        <x:f>IF(B33="","","L-"&amp;TEXT(ROW()-4,"000"))</x:f>
      </x:c>
      <x:c r="B33" s="129"/>
      <x:c r="C33" s="129"/>
      <x:c r="D33" s="129"/>
      <x:c r="E33" s="130"/>
      <x:c r="F33" s="129"/>
      <x:c r="G33" s="129"/>
      <x:c r="H33" s="131"/>
      <x:c r="I33" s="129"/>
      <x:c r="J33" s="130"/>
      <x:c r="K33" s="129"/>
      <x:c r="L33" s="130"/>
      <x:c r="M33" s="129"/>
      <x:c r="N33" s="129"/>
      <x:c r="O33" s="132"/>
      <x:c r="P33" s="129"/>
    </x:row>
    <x:row r="34">
      <x:c r="A34" s="129" t="str">
        <x:f>IF(B34="","","L-"&amp;TEXT(ROW()-4,"000"))</x:f>
      </x:c>
      <x:c r="B34" s="129"/>
      <x:c r="C34" s="129"/>
      <x:c r="D34" s="129"/>
      <x:c r="E34" s="130"/>
      <x:c r="F34" s="129"/>
      <x:c r="G34" s="129"/>
      <x:c r="H34" s="131"/>
      <x:c r="I34" s="129"/>
      <x:c r="J34" s="130"/>
      <x:c r="K34" s="129"/>
      <x:c r="L34" s="130"/>
      <x:c r="M34" s="129"/>
      <x:c r="N34" s="129"/>
      <x:c r="O34" s="132"/>
      <x:c r="P34" s="129"/>
    </x:row>
    <x:row r="35">
      <x:c r="A35" s="129" t="str">
        <x:f>IF(B35="","","L-"&amp;TEXT(ROW()-4,"000"))</x:f>
      </x:c>
      <x:c r="B35" s="129"/>
      <x:c r="C35" s="129"/>
      <x:c r="D35" s="129"/>
      <x:c r="E35" s="130"/>
      <x:c r="F35" s="129"/>
      <x:c r="G35" s="129"/>
      <x:c r="H35" s="131"/>
      <x:c r="I35" s="129"/>
      <x:c r="J35" s="130"/>
      <x:c r="K35" s="129"/>
      <x:c r="L35" s="130"/>
      <x:c r="M35" s="129"/>
      <x:c r="N35" s="129"/>
      <x:c r="O35" s="132"/>
      <x:c r="P35" s="129"/>
    </x:row>
    <x:row r="36">
      <x:c r="A36" s="129" t="str">
        <x:f>IF(B36="","","L-"&amp;TEXT(ROW()-4,"000"))</x:f>
      </x:c>
      <x:c r="B36" s="129"/>
      <x:c r="C36" s="129"/>
      <x:c r="D36" s="129"/>
      <x:c r="E36" s="130"/>
      <x:c r="F36" s="129"/>
      <x:c r="G36" s="129"/>
      <x:c r="H36" s="131"/>
      <x:c r="I36" s="129"/>
      <x:c r="J36" s="130"/>
      <x:c r="K36" s="129"/>
      <x:c r="L36" s="130"/>
      <x:c r="M36" s="129"/>
      <x:c r="N36" s="129"/>
      <x:c r="O36" s="132"/>
      <x:c r="P36" s="129"/>
    </x:row>
    <x:row r="37">
      <x:c r="A37" s="129" t="str">
        <x:f>IF(B37="","","L-"&amp;TEXT(ROW()-4,"000"))</x:f>
      </x:c>
      <x:c r="B37" s="129"/>
      <x:c r="C37" s="129"/>
      <x:c r="D37" s="129"/>
      <x:c r="E37" s="130"/>
      <x:c r="F37" s="129"/>
      <x:c r="G37" s="129"/>
      <x:c r="H37" s="131"/>
      <x:c r="I37" s="129"/>
      <x:c r="J37" s="130"/>
      <x:c r="K37" s="129"/>
      <x:c r="L37" s="130"/>
      <x:c r="M37" s="129"/>
      <x:c r="N37" s="129"/>
      <x:c r="O37" s="132"/>
      <x:c r="P37" s="129"/>
    </x:row>
    <x:row r="38">
      <x:c r="A38" s="129" t="str">
        <x:f>IF(B38="","","L-"&amp;TEXT(ROW()-4,"000"))</x:f>
      </x:c>
      <x:c r="B38" s="129"/>
      <x:c r="C38" s="129"/>
      <x:c r="D38" s="129"/>
      <x:c r="E38" s="130"/>
      <x:c r="F38" s="129"/>
      <x:c r="G38" s="129"/>
      <x:c r="H38" s="131"/>
      <x:c r="I38" s="129"/>
      <x:c r="J38" s="130"/>
      <x:c r="K38" s="129"/>
      <x:c r="L38" s="130"/>
      <x:c r="M38" s="129"/>
      <x:c r="N38" s="129"/>
      <x:c r="O38" s="132"/>
      <x:c r="P38" s="129"/>
    </x:row>
    <x:row r="39">
      <x:c r="A39" s="129" t="str">
        <x:f>IF(B39="","","L-"&amp;TEXT(ROW()-4,"000"))</x:f>
      </x:c>
      <x:c r="B39" s="129"/>
      <x:c r="C39" s="129"/>
      <x:c r="D39" s="129"/>
      <x:c r="E39" s="130"/>
      <x:c r="F39" s="129"/>
      <x:c r="G39" s="129"/>
      <x:c r="H39" s="131"/>
      <x:c r="I39" s="129"/>
      <x:c r="J39" s="130"/>
      <x:c r="K39" s="129"/>
      <x:c r="L39" s="130"/>
      <x:c r="M39" s="129"/>
      <x:c r="N39" s="129"/>
      <x:c r="O39" s="132"/>
      <x:c r="P39" s="129"/>
    </x:row>
    <x:row r="40">
      <x:c r="A40" s="129" t="str">
        <x:f>IF(B40="","","L-"&amp;TEXT(ROW()-4,"000"))</x:f>
      </x:c>
      <x:c r="B40" s="129"/>
      <x:c r="C40" s="129"/>
      <x:c r="D40" s="129"/>
      <x:c r="E40" s="130"/>
      <x:c r="F40" s="129"/>
      <x:c r="G40" s="129"/>
      <x:c r="H40" s="131"/>
      <x:c r="I40" s="129"/>
      <x:c r="J40" s="130"/>
      <x:c r="K40" s="129"/>
      <x:c r="L40" s="130"/>
      <x:c r="M40" s="129"/>
      <x:c r="N40" s="129"/>
      <x:c r="O40" s="132"/>
      <x:c r="P40" s="129"/>
    </x:row>
    <x:row r="41">
      <x:c r="A41" s="129" t="str">
        <x:f>IF(B41="","","L-"&amp;TEXT(ROW()-4,"000"))</x:f>
      </x:c>
      <x:c r="B41" s="129"/>
      <x:c r="C41" s="129"/>
      <x:c r="D41" s="129"/>
      <x:c r="E41" s="130"/>
      <x:c r="F41" s="129"/>
      <x:c r="G41" s="129"/>
      <x:c r="H41" s="131"/>
      <x:c r="I41" s="129"/>
      <x:c r="J41" s="130"/>
      <x:c r="K41" s="129"/>
      <x:c r="L41" s="130"/>
      <x:c r="M41" s="129"/>
      <x:c r="N41" s="129"/>
      <x:c r="O41" s="132"/>
      <x:c r="P41" s="129"/>
    </x:row>
    <x:row r="42">
      <x:c r="A42" s="129" t="str">
        <x:f>IF(B42="","","L-"&amp;TEXT(ROW()-4,"000"))</x:f>
      </x:c>
      <x:c r="B42" s="129"/>
      <x:c r="C42" s="129"/>
      <x:c r="D42" s="129"/>
      <x:c r="E42" s="130"/>
      <x:c r="F42" s="129"/>
      <x:c r="G42" s="129"/>
      <x:c r="H42" s="131"/>
      <x:c r="I42" s="129"/>
      <x:c r="J42" s="130"/>
      <x:c r="K42" s="129"/>
      <x:c r="L42" s="130"/>
      <x:c r="M42" s="129"/>
      <x:c r="N42" s="129"/>
      <x:c r="O42" s="132"/>
      <x:c r="P42" s="129"/>
    </x:row>
    <x:row r="43">
      <x:c r="A43" s="129" t="str">
        <x:f>IF(B43="","","L-"&amp;TEXT(ROW()-4,"000"))</x:f>
      </x:c>
      <x:c r="B43" s="129"/>
      <x:c r="C43" s="129"/>
      <x:c r="D43" s="129"/>
      <x:c r="E43" s="130"/>
      <x:c r="F43" s="129"/>
      <x:c r="G43" s="129"/>
      <x:c r="H43" s="131"/>
      <x:c r="I43" s="129"/>
      <x:c r="J43" s="130"/>
      <x:c r="K43" s="129"/>
      <x:c r="L43" s="130"/>
      <x:c r="M43" s="129"/>
      <x:c r="N43" s="129"/>
      <x:c r="O43" s="132"/>
      <x:c r="P43" s="129"/>
    </x:row>
    <x:row r="44">
      <x:c r="A44" s="129" t="str">
        <x:f>IF(B44="","","L-"&amp;TEXT(ROW()-4,"000"))</x:f>
      </x:c>
      <x:c r="B44" s="129"/>
      <x:c r="C44" s="129"/>
      <x:c r="D44" s="129"/>
      <x:c r="E44" s="130"/>
      <x:c r="F44" s="129"/>
      <x:c r="G44" s="129"/>
      <x:c r="H44" s="131"/>
      <x:c r="I44" s="129"/>
      <x:c r="J44" s="130"/>
      <x:c r="K44" s="129"/>
      <x:c r="L44" s="130"/>
      <x:c r="M44" s="129"/>
      <x:c r="N44" s="129"/>
      <x:c r="O44" s="132"/>
      <x:c r="P44" s="129"/>
    </x:row>
    <x:row r="45">
      <x:c r="A45" s="129" t="str">
        <x:f>IF(B45="","","L-"&amp;TEXT(ROW()-4,"000"))</x:f>
      </x:c>
      <x:c r="B45" s="129"/>
      <x:c r="C45" s="129"/>
      <x:c r="D45" s="129"/>
      <x:c r="E45" s="130"/>
      <x:c r="F45" s="129"/>
      <x:c r="G45" s="129"/>
      <x:c r="H45" s="131"/>
      <x:c r="I45" s="129"/>
      <x:c r="J45" s="130"/>
      <x:c r="K45" s="129"/>
      <x:c r="L45" s="130"/>
      <x:c r="M45" s="129"/>
      <x:c r="N45" s="129"/>
      <x:c r="O45" s="132"/>
      <x:c r="P45" s="129"/>
    </x:row>
    <x:row r="46">
      <x:c r="A46" s="129" t="str">
        <x:f>IF(B46="","","L-"&amp;TEXT(ROW()-4,"000"))</x:f>
      </x:c>
      <x:c r="B46" s="129"/>
      <x:c r="C46" s="129"/>
      <x:c r="D46" s="129"/>
      <x:c r="E46" s="130"/>
      <x:c r="F46" s="129"/>
      <x:c r="G46" s="129"/>
      <x:c r="H46" s="131"/>
      <x:c r="I46" s="129"/>
      <x:c r="J46" s="130"/>
      <x:c r="K46" s="129"/>
      <x:c r="L46" s="130"/>
      <x:c r="M46" s="129"/>
      <x:c r="N46" s="129"/>
      <x:c r="O46" s="132"/>
      <x:c r="P46" s="129"/>
    </x:row>
    <x:row r="47">
      <x:c r="A47" s="129" t="str">
        <x:f>IF(B47="","","L-"&amp;TEXT(ROW()-4,"000"))</x:f>
      </x:c>
      <x:c r="B47" s="129"/>
      <x:c r="C47" s="129"/>
      <x:c r="D47" s="129"/>
      <x:c r="E47" s="130"/>
      <x:c r="F47" s="129"/>
      <x:c r="G47" s="129"/>
      <x:c r="H47" s="131"/>
      <x:c r="I47" s="129"/>
      <x:c r="J47" s="130"/>
      <x:c r="K47" s="129"/>
      <x:c r="L47" s="130"/>
      <x:c r="M47" s="129"/>
      <x:c r="N47" s="129"/>
      <x:c r="O47" s="132"/>
      <x:c r="P47" s="129"/>
    </x:row>
    <x:row r="48">
      <x:c r="A48" s="129" t="str">
        <x:f>IF(B48="","","L-"&amp;TEXT(ROW()-4,"000"))</x:f>
      </x:c>
      <x:c r="B48" s="129"/>
      <x:c r="C48" s="129"/>
      <x:c r="D48" s="129"/>
      <x:c r="E48" s="130"/>
      <x:c r="F48" s="129"/>
      <x:c r="G48" s="129"/>
      <x:c r="H48" s="131"/>
      <x:c r="I48" s="129"/>
      <x:c r="J48" s="130"/>
      <x:c r="K48" s="129"/>
      <x:c r="L48" s="130"/>
      <x:c r="M48" s="129"/>
      <x:c r="N48" s="129"/>
      <x:c r="O48" s="132"/>
      <x:c r="P48" s="129"/>
    </x:row>
    <x:row r="49">
      <x:c r="A49" s="129" t="str">
        <x:f>IF(B49="","","L-"&amp;TEXT(ROW()-4,"000"))</x:f>
      </x:c>
      <x:c r="B49" s="129"/>
      <x:c r="C49" s="129"/>
      <x:c r="D49" s="129"/>
      <x:c r="E49" s="130"/>
      <x:c r="F49" s="129"/>
      <x:c r="G49" s="129"/>
      <x:c r="H49" s="131"/>
      <x:c r="I49" s="129"/>
      <x:c r="J49" s="130"/>
      <x:c r="K49" s="129"/>
      <x:c r="L49" s="130"/>
      <x:c r="M49" s="129"/>
      <x:c r="N49" s="129"/>
      <x:c r="O49" s="132"/>
      <x:c r="P49" s="129"/>
    </x:row>
    <x:row r="50">
      <x:c r="A50" s="129" t="str">
        <x:f>IF(B50="","","L-"&amp;TEXT(ROW()-4,"000"))</x:f>
      </x:c>
      <x:c r="B50" s="129"/>
      <x:c r="C50" s="129"/>
      <x:c r="D50" s="129"/>
      <x:c r="E50" s="130"/>
      <x:c r="F50" s="129"/>
      <x:c r="G50" s="129"/>
      <x:c r="H50" s="131"/>
      <x:c r="I50" s="129"/>
      <x:c r="J50" s="130"/>
      <x:c r="K50" s="129"/>
      <x:c r="L50" s="130"/>
      <x:c r="M50" s="129"/>
      <x:c r="N50" s="129"/>
      <x:c r="O50" s="132"/>
      <x:c r="P50" s="129"/>
    </x:row>
    <x:row r="51">
      <x:c r="A51" s="129" t="str">
        <x:f>IF(B51="","","L-"&amp;TEXT(ROW()-4,"000"))</x:f>
      </x:c>
      <x:c r="B51" s="129"/>
      <x:c r="C51" s="129"/>
      <x:c r="D51" s="129"/>
      <x:c r="E51" s="130"/>
      <x:c r="F51" s="129"/>
      <x:c r="G51" s="129"/>
      <x:c r="H51" s="131"/>
      <x:c r="I51" s="129"/>
      <x:c r="J51" s="130"/>
      <x:c r="K51" s="129"/>
      <x:c r="L51" s="130"/>
      <x:c r="M51" s="129"/>
      <x:c r="N51" s="129"/>
      <x:c r="O51" s="132"/>
      <x:c r="P51" s="129"/>
    </x:row>
    <x:row r="52">
      <x:c r="A52" s="129" t="str">
        <x:f>IF(B52="","","L-"&amp;TEXT(ROW()-4,"000"))</x:f>
      </x:c>
      <x:c r="B52" s="129"/>
      <x:c r="C52" s="129"/>
      <x:c r="D52" s="129"/>
      <x:c r="E52" s="130"/>
      <x:c r="F52" s="129"/>
      <x:c r="G52" s="129"/>
      <x:c r="H52" s="131"/>
      <x:c r="I52" s="129"/>
      <x:c r="J52" s="130"/>
      <x:c r="K52" s="129"/>
      <x:c r="L52" s="130"/>
      <x:c r="M52" s="129"/>
      <x:c r="N52" s="129"/>
      <x:c r="O52" s="132"/>
      <x:c r="P52" s="129"/>
    </x:row>
    <x:row r="53">
      <x:c r="A53" s="129" t="str">
        <x:f>IF(B53="","","L-"&amp;TEXT(ROW()-4,"000"))</x:f>
      </x:c>
      <x:c r="B53" s="129"/>
      <x:c r="C53" s="129"/>
      <x:c r="D53" s="129"/>
      <x:c r="E53" s="130"/>
      <x:c r="F53" s="129"/>
      <x:c r="G53" s="129"/>
      <x:c r="H53" s="131"/>
      <x:c r="I53" s="129"/>
      <x:c r="J53" s="130"/>
      <x:c r="K53" s="129"/>
      <x:c r="L53" s="130"/>
      <x:c r="M53" s="129"/>
      <x:c r="N53" s="129"/>
      <x:c r="O53" s="132"/>
      <x:c r="P53" s="129"/>
    </x:row>
    <x:row r="54">
      <x:c r="A54" s="129" t="str">
        <x:f>IF(B54="","","L-"&amp;TEXT(ROW()-4,"000"))</x:f>
      </x:c>
      <x:c r="B54" s="129"/>
      <x:c r="C54" s="129"/>
      <x:c r="D54" s="129"/>
      <x:c r="E54" s="130"/>
      <x:c r="F54" s="129"/>
      <x:c r="G54" s="129"/>
      <x:c r="H54" s="131"/>
      <x:c r="I54" s="129"/>
      <x:c r="J54" s="130"/>
      <x:c r="K54" s="129"/>
      <x:c r="L54" s="130"/>
      <x:c r="M54" s="129"/>
      <x:c r="N54" s="129"/>
      <x:c r="O54" s="132"/>
      <x:c r="P54" s="129"/>
    </x:row>
  </x:sheetData>
  <x:mergeCells>
    <x:mergeCell ref="A1:P1"/>
  </x:mergeCells>
  <x:conditionalFormatting sqref="F5:F54">
    <x:cfRule type="containsText" dxfId="5" priority="1" operator="containsText" text="有料PoC"/>
    <x:cfRule type="containsText" dxfId="7" priority="3" operator="containsText" text="失注"/>
  </x:conditionalFormatting>
  <x:conditionalFormatting sqref="I5:I54">
    <x:cfRule type="containsText" dxfId="6" priority="2" operator="containsText" text="全額入金"/>
  </x:conditionalFormatting>
  <x:dataValidations count="3">
    <x:dataValidation type="list" sqref="F5:F54">
      <x:formula1>"未接触,提案済,会話中,有料PoC,継続提案,失注"</x:formula1>
    </x:dataValidation>
    <x:dataValidation type="list" sqref="I5:I54">
      <x:formula1>"未請求,請求済,予約金受領,全額入金,返金"</x:formula1>
    </x:dataValidation>
    <x:dataValidation type="list" sqref="N5:N54">
      <x:formula1>"未受領,受領済,不要"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79f4f04421494a"/>
  </x:tableParts>
</x:worksheet>
</file>